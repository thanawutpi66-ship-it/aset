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Voltage" sheetId="1" r:id="rId1"/>
    <sheet name="2. Current" sheetId="2" r:id="rId2"/>
    <sheet name="3. SoC" sheetId="3" r:id="rId3"/>
    <sheet name="4. Rin" sheetId="4" r:id="rId4"/>
    <sheet name="5. Temp" sheetId="5" r:id="rId5"/>
    <sheet name="6. SoH" sheetId="6" r:id="rId6"/>
    <sheet name="7. ค่าต่อเคมี" sheetId="7" r:id="rId7"/>
    <sheet name="8. ปรับความแม่นยำ" sheetId="8" r:id="rId8"/>
    <sheet name="R0 · Dashboard" sheetId="9" r:id="rId9"/>
    <sheet name="R1 · คำถามวิจัย" sheetId="10" r:id="rId10"/>
    <sheet name="R2 · จำเป็นไหม" sheetId="11" r:id="rId11"/>
    <sheet name="R3 · อ้างอิง" sheetId="12" r:id="rId12"/>
    <sheet name="R4 · Baseline" sheetId="13" r:id="rId13"/>
    <sheet name="R5 · Ground Truth" sheetId="14" r:id="rId14"/>
    <sheet name="R6 · Replay Harness" sheetId="15" r:id="rId15"/>
    <sheet name="R7 · Ablation Matrix" sheetId="16" r:id="rId16"/>
    <sheet name="R8 · ตัวชี้วัด" sheetId="17" r:id="rId17"/>
    <sheet name="R9 · เกณฑ์ตัดสิน" sheetId="18" r:id="rId18"/>
    <sheet name="R10 · แผน 2 สัปดาห์" sheetId="19" r:id="rId19"/>
    <sheet name="R11 · ตารางเก็บผล" sheetId="20" r:id="rId20"/>
    <sheet name="R12 · ความเสี่ยง" sheetId="21" r:id="rId21"/>
    <sheet name="R13 · ป้องกันวิทยานิพนธ์" sheetId="22" r:id="rId22"/>
    <sheet name="P1 · Peukert k" sheetId="23" r:id="rId23"/>
    <sheet name="P2 · Coulomb eta" sheetId="24" r:id="rId24"/>
    <sheet name="P3 · OCV Table" sheetId="25" r:id="rId25"/>
    <sheet name="P4 · EKF" sheetId="26" r:id="rId26"/>
    <sheet name="P5 · Q-R Tuning" sheetId="27" r:id="rId27"/>
  </sheets>
  <calcPr calcId="124519" fullCalcOnLoad="1"/>
</workbook>
</file>

<file path=xl/sharedStrings.xml><?xml version="1.0" encoding="utf-8"?>
<sst xmlns="http://schemas.openxmlformats.org/spreadsheetml/2006/main" count="1156" uniqueCount="885">
  <si>
    <t>หน้า 1 :  VOLTAGE (V) — แรงดันไฟ</t>
  </si>
  <si>
    <t>ค่าแรงดันที่ขั้วแบตเตอรี่ หน่วยโวลต์</t>
  </si>
  <si>
    <t>ค่านี้คืออะไร</t>
  </si>
  <si>
    <t>ความหมาย</t>
  </si>
  <si>
    <t>แรงดันไฟฟ้าที่ขั้วแบต (terminal voltage) ขณะนั้น</t>
  </si>
  <si>
    <t>ประเภท</t>
  </si>
  <si>
    <t>วัดตรงจากเครื่องมือ — ไม่มีการคำนวณ</t>
  </si>
  <si>
    <t>ความถี่อัปเดต</t>
  </si>
  <si>
    <t>ทุกรอบการอ่าน (ทุก sample)</t>
  </si>
  <si>
    <t>ได้มาอย่างไร (ขั้นตอน)</t>
  </si>
  <si>
    <t>1) อ่านจากเครื่อง</t>
  </si>
  <si>
    <t>โปรแกรมสั่งเครื่องจ่ายไฟ (PSU) หรือ E-load ผ่านสาย VISA ให้รายงานแรงดัน</t>
  </si>
  <si>
    <t>2) รับค่า</t>
  </si>
  <si>
    <t>v, psu_i, load_i = hw.read_vi()</t>
  </si>
  <si>
    <t>3) ส่งไปจอ</t>
  </si>
  <si>
    <t>ส่งค่า v ตรงๆ ไปแสดง ไม่แปลงอะไร</t>
  </si>
  <si>
    <t>4) จัดรูปแบบ</t>
  </si>
  <si>
    <t>แสดงทศนิยม 2 ตำแหน่ง เช่น "13.25 V"</t>
  </si>
  <si>
    <t>ตำแหน่งในโค้ด</t>
  </si>
  <si>
    <t>อ่านค่า</t>
  </si>
  <si>
    <t>auto_controller.py : 250</t>
  </si>
  <si>
    <t>แสดงผล</t>
  </si>
  <si>
    <t>isa101_views.py : 2178  (_slot_display)</t>
  </si>
  <si>
    <t>ตัวอย่างจริง</t>
  </si>
  <si>
    <t>เครื่องอ่านได้</t>
  </si>
  <si>
    <t>13.25</t>
  </si>
  <si>
    <t>จอแสดง</t>
  </si>
  <si>
    <t>13.25 V</t>
  </si>
  <si>
    <t>อธิบายตัวแปร</t>
  </si>
  <si>
    <t>ตัวแปร</t>
  </si>
  <si>
    <t>ความหมาย (หน่วย)</t>
  </si>
  <si>
    <t>ได้มาจากไหน</t>
  </si>
  <si>
    <t>v</t>
  </si>
  <si>
    <t>แรงดันที่ขั้วแบตขณะนั้น (V)</t>
  </si>
  <si>
    <t>วัดตรงจาก PSU/E-load ผ่าน VISA</t>
  </si>
  <si>
    <t>OCV</t>
  </si>
  <si>
    <t>แรงดันเปิดวงจร — แรงดันแท้ตอนไม่มีกระแส (V)</t>
  </si>
  <si>
    <t>เปิดตาราง OCV จาก SoC (ดูหน้า SoC)</t>
  </si>
  <si>
    <t>I</t>
  </si>
  <si>
    <t>กระแสที่ไหลผ่านขณะนั้น (A)</t>
  </si>
  <si>
    <t>Rin</t>
  </si>
  <si>
    <t>ความต้านทานภายในแบต (Ω)</t>
  </si>
  <si>
    <t>คำนวณจากโมเดล (ดูหน้า Rin)</t>
  </si>
  <si>
    <t>ผลต่อความแม่นยำ (ข้อควรระวัง)</t>
  </si>
  <si>
    <t>• ขณะมีกระแสไหล แรงดันที่วัดได้ = OCV − (I × Rin)  ไม่ใช่แรงดันเปิดวงจรจริง (OCV)</t>
  </si>
  <si>
    <t>• ต้องพักให้กระแสนิ่ง (rest) สักพัก แรงดันถึงจะกลับไปเท่า OCV จริง — ค่านี้สำคัญตอนทำ OCV Calibrate</t>
  </si>
  <si>
    <t>• ถ้าสาย/คอนเนกเตอร์หลวม จะมีแรงดันตกที่สาย ทำให้อ่านต่ำกว่าจริง</t>
  </si>
  <si>
    <t>หน้า 2 :  CURRENT (A) — กระแสไฟ</t>
  </si>
  <si>
    <t>กระแสสุทธิ ไหลเข้า (ชาร์จ) หรือ ออก (ใช้งาน)</t>
  </si>
  <si>
    <t>กระแสสุทธิ (i_net) ที่ไหลผ่านแบต หน่วยแอมป์</t>
  </si>
  <si>
    <t>การแสดงผล</t>
  </si>
  <si>
    <t>บนจอแสดงค่าสัมบูรณ์ |i| พร้อมป้ายบอกทิศ ▲CHG / ▼DSG / —REST</t>
  </si>
  <si>
    <t>ข้อตกลงเครื่องหมาย</t>
  </si>
  <si>
    <t>ใช้งาน/คายประจุ = บวก (+)   ,   ชาร์จ = ลบ (−)</t>
  </si>
  <si>
    <t>ได้มาอย่างไร (เลือกตามโหมด)</t>
  </si>
  <si>
    <t>อ่านดิบ 2 ตัว</t>
  </si>
  <si>
    <t>v, psu_i, load_i = hw.read_vi()   (psu_i=กระแสเครื่องชาร์จ, load_i=กระแส e-load)</t>
  </si>
  <si>
    <t>จากนั้นเลือก i_net ตามว่าตอนนี้กำลังทำอะไรอยู่:</t>
  </si>
  <si>
    <t>DISCHARGE (ใช้งาน)</t>
  </si>
  <si>
    <t>ถ้า load_i &gt; 0.02A   →   i_net = +load_i</t>
  </si>
  <si>
    <t>CHARGE (ชาร์จ)</t>
  </si>
  <si>
    <t>ถ้า PSU output เปิด   →   i_net = −psu_i</t>
  </si>
  <si>
    <t>REST (พัก)</t>
  </si>
  <si>
    <t>ถ้า PSU output ปิด   →   i_net = +psu_i  (กระแส bleed ที่ PSU ดูดทิ้ง)</t>
  </si>
  <si>
    <t>เลือก i_net</t>
  </si>
  <si>
    <t>auto_controller.py : 250–262</t>
  </si>
  <si>
    <t>แสดง+ป้ายทิศ</t>
  </si>
  <si>
    <t>isa101_views.py : 2182–2196</t>
  </si>
  <si>
    <t>กำลังคายประจุ 2.5A</t>
  </si>
  <si>
    <t>load_i=2.5 → i_net=+2.5 → จอ: 2.50 A  ▼DSG (สีส้ม)</t>
  </si>
  <si>
    <t>กำลังชาร์จ 1.2A</t>
  </si>
  <si>
    <t>psu_i=1.2 → i_net=−1.2 → จอ: 1.20 A  ▲CHG (สีน้ำเงิน)</t>
  </si>
  <si>
    <t>พักอยู่</t>
  </si>
  <si>
    <t>|i| &lt; 0.05A → จอ: —REST (สีเทา)</t>
  </si>
  <si>
    <t>i_net</t>
  </si>
  <si>
    <t>กระแสสุทธิที่ใช้คำนวณ (A) บวก=คาย ลบ=ชาร์จ</t>
  </si>
  <si>
    <t>เลือกจาก psu_i / load_i ตามโหมด</t>
  </si>
  <si>
    <t>psu_i</t>
  </si>
  <si>
    <t>กระแสที่เครื่องจ่ายไฟ (PSU) อ่านได้ (A)</t>
  </si>
  <si>
    <t>hw.read_vi() ค่าที่ 2</t>
  </si>
  <si>
    <t>load_i</t>
  </si>
  <si>
    <t>กระแสที่ E-load (ตัวคายประจุ) อ่านได้ (A)</t>
  </si>
  <si>
    <t>hw.read_vi() ค่าที่ 3</t>
  </si>
  <si>
    <t>bleed</t>
  </si>
  <si>
    <t>กระแสที่ PSU ดูดทิ้งตลอดตอน output ปิด (A)</t>
  </si>
  <si>
    <t>ผู้ใช้ตั้งใน Setup (psu_bleed_a)</t>
  </si>
  <si>
    <t>0.02</t>
  </si>
  <si>
    <t>เกณฑ์ตัดสินว่ากำลังคายประจุ (A)</t>
  </si>
  <si>
    <t>ค่าคงที่ในโค้ด (กันสัญญาณรบกวน)</t>
  </si>
  <si>
    <t>0.05</t>
  </si>
  <si>
    <t>เกณฑ์ตัดสินว่า 'พัก' บนจอ (A)</t>
  </si>
  <si>
    <t>ค่าคงที่ _IDLE ในโค้ดแสดงผล</t>
  </si>
  <si>
    <t>• กระแสคือฐานของการนับประจุ (Coulomb counting) → ถ้าอ่านกระแสเพี้ยน SoC เพี้ยนตามทันที</t>
  </si>
  <si>
    <t>• PSU Bleed: เครื่องจ่ายไฟบางรุ่น (เช่น PSW 80-40.5) ดูดกระแสทิ้ง ~0.6A ตลอดเวลาแม้ output ปิด ต้องตั้งค่านี้ให้ระบบรู้</t>
  </si>
  <si>
    <t>หน้า 3 :  SoC (%) — ระดับพลังงานคงเหลือ</t>
  </si>
  <si>
    <t>เปอร์เซ็นต์ไฟที่เหลือ (เหมือน % แบตมือถือ) — ค่าที่สำคัญและซับซ้อนที่สุด</t>
  </si>
  <si>
    <t>State of Charge = พลังงานคงเหลือคิดเป็น % (0–100)</t>
  </si>
  <si>
    <t>โปรแกรมคำนวณ/ประมาณ — มองในแบตไม่ได้ จึงต้องใช้หลายวิธีผสมกัน</t>
  </si>
  <si>
    <t>ค่าเริ่มต้น</t>
  </si>
  <si>
    <t>เริ่มที่ 50% เสมอ จนกว่าจะทำ OCV Calibrate หรือชน Endpoint</t>
  </si>
  <si>
    <t>ได้มาอย่างไร — 4 ขั้นตอน ใน estimator.update()</t>
  </si>
  <si>
    <t>ขั้น 1 — Coulomb Counting (นับประจุเข้า-ออก)</t>
  </si>
  <si>
    <t>นับประจุต่อรอบ</t>
  </si>
  <si>
    <t>dAh = i_net × (dt ÷ 3600)        [dt = เวลาจริงต่อรอบ หน่วยวินาที]</t>
  </si>
  <si>
    <t>ปรับ (ชาร์จ)</t>
  </si>
  <si>
    <t>ถ้าชาร์จ: dAh ×= η  (ประสิทธิภาพ — LiPO=0.99 ; ตะกั่วขึ้นกับ SoC 0.97/0.92/0.75)</t>
  </si>
  <si>
    <t>ปรับ (คาย-ตะกั่ว)</t>
  </si>
  <si>
    <t>ถ้าคายประจุแบตตะกั่ว: dAh ×= Peukert  (กระแสสูงยิ่งเปลืองเร็ว, k=1.30)</t>
  </si>
  <si>
    <t>สะสม + คำนวณ</t>
  </si>
  <si>
    <t>SoC_cc = SoC_เริ่มต้น − (Σ dAh ÷ ความจุ) × 100</t>
  </si>
  <si>
    <t>ขั้น 1b — Endpoint Anchor (ฟันธงที่ขอบ แก้การเพี้ยนสะสม)</t>
  </si>
  <si>
    <t>เต็ม → 100%</t>
  </si>
  <si>
    <t>ถ้ากำลังชาร์จ และ V ≥ 98.6% ของแรงดันเต็ม และกระแสลดจนน้อย → reset SoC=100%</t>
  </si>
  <si>
    <t>หมด → 0%</t>
  </si>
  <si>
    <t>ถ้ากำลังคายประจุ และ V ≤ แรงดันที่ 0% → reset SoC=0%</t>
  </si>
  <si>
    <t>ขั้น 3 — OCV Correction (เทียบแรงดันตอนพัก แล้วแก้ค่า)</t>
  </si>
  <si>
    <t>ทำเมื่อ</t>
  </si>
  <si>
    <t>กระแสนิ่งใกล้ค่า bleed (|i−bleed| &lt; 0.15A) และพักนานพอ (Li-ion≥30s/LFP≥120s/ตะกั่ว≥60s)</t>
  </si>
  <si>
    <t>คำนวณ OCV</t>
  </si>
  <si>
    <t>V_ocv = V + bleed × Rin   แล้วเปิดตารางหา  SoC_ocv = lookup(V_ocv, อุณหภูมิ)</t>
  </si>
  <si>
    <t>เงื่อนไขห้ามแก้</t>
  </si>
  <si>
    <t>ถ้ากราฟแบน (slope &lt; 0.003 V/%) → ข้าม! (แรงดันเพี้ยนนิดเดียว SoC เพี้ยนมาก)</t>
  </si>
  <si>
    <t>ผสมค่า</t>
  </si>
  <si>
    <t>SoC = 0.9 × SoC_ocv + 0.1 × SoC_cc   (ถ้าอยู่ปลาย/knee ที่เชื่อถือได้)</t>
  </si>
  <si>
    <t>ขั้น 4 — Exponential Smoothing (กรองให้นิ่ง)</t>
  </si>
  <si>
    <t>กรองสัญญาณ</t>
  </si>
  <si>
    <t>SoC = 0.95 × SoC_เดิม + 0.05 × SoC_cc      (α = 0.05)</t>
  </si>
  <si>
    <t>ผลของ α</t>
  </si>
  <si>
    <t>α ต่ำ = นิ่งแต่ตอบสนองช้า ; α สูง = ไวแต่กระตุก</t>
  </si>
  <si>
    <t>ตัวอย่างจริง (แบต 7Ah เริ่ม 80%)</t>
  </si>
  <si>
    <t>คายประจุ 2A นาน 60s</t>
  </si>
  <si>
    <t>dAh = 2 × (60÷3600) = 0.0333 Ah</t>
  </si>
  <si>
    <t>SoC ลดลง</t>
  </si>
  <si>
    <t>0.0333 ÷ 7 × 100 = 0.476%  →  SoC = 80 − 0.48 = 79.52%</t>
  </si>
  <si>
    <t>อธิบายตัวแปร (สำคัญ — อ่านให้ครบ)</t>
  </si>
  <si>
    <t>กระแสสุทธิ (A) บวก=คาย ลบ=ชาร์จ</t>
  </si>
  <si>
    <t>จากหน้า Current</t>
  </si>
  <si>
    <t>dt</t>
  </si>
  <si>
    <t>เวลาจริงที่ผ่านไปต่อ 1 รอบอ่าน (วินาที)</t>
  </si>
  <si>
    <t>จับเวลา time.time() ทุกรอบ ไม่ fix ค่า</t>
  </si>
  <si>
    <t>dAh</t>
  </si>
  <si>
    <t>ประจุที่เข้า/ออกในรอบนั้น (Ah)</t>
  </si>
  <si>
    <t>rated_capacity</t>
  </si>
  <si>
    <t>ความจุที่ระบุของแบต (Ah)</t>
  </si>
  <si>
    <t>ผู้ใช้ตั้ง / จากโปรไฟล์รุ่นแบต</t>
  </si>
  <si>
    <t>SoC_initial</t>
  </si>
  <si>
    <t>SoC ตั้งต้นที่ใช้เป็นฐานนับ (%)</t>
  </si>
  <si>
    <t>เริ่ม 50% → อัปเดตเมื่อ Calibrate/anchor</t>
  </si>
  <si>
    <t>SoC_cc</t>
  </si>
  <si>
    <t>SoC จากการนับประจุล้วน (%)</t>
  </si>
  <si>
    <t>η (eta)</t>
  </si>
  <si>
    <t>ประสิทธิภาพคูลอมบ์ตอนชาร์จ (0–1)</t>
  </si>
  <si>
    <t>LiPO=0.99 ; ตะกั่วตาม SoC 0.97/0.92/0.75</t>
  </si>
  <si>
    <t>k (Peukert)</t>
  </si>
  <si>
    <t>ค่าเพิ่มความเปลืองเมื่อคายกระแสสูง</t>
  </si>
  <si>
    <t>ต่อเคมี: ตะกั่ว=1.30, Li-ion=1.0 (ไม่ปรับ)</t>
  </si>
  <si>
    <t>V_cv</t>
  </si>
  <si>
    <t>แรงดันชาร์จเต็มต่อเซลล์ (V)</t>
  </si>
  <si>
    <t>จากโปรไฟล์เคมี (เช่น LFP=3.65V)</t>
  </si>
  <si>
    <t>กระแส standby ที่ PSU ดูดทิ้ง (A)</t>
  </si>
  <si>
    <t>ความต้านทานภายใน (Ω)</t>
  </si>
  <si>
    <t>จากหน้า Rin</t>
  </si>
  <si>
    <t>V_ocv</t>
  </si>
  <si>
    <t>แรงดันเปิดวงจรประมาณ (V)</t>
  </si>
  <si>
    <t>SoC_ocv</t>
  </si>
  <si>
    <t>SoC ที่ได้จากการเปิดตาราง OCV (%)</t>
  </si>
  <si>
    <t>lookup(V_ocv, อุณหภูมิ)</t>
  </si>
  <si>
    <t>slope</t>
  </si>
  <si>
    <t>ความชันกราฟ OCV (V ต่อ %SoC)</t>
  </si>
  <si>
    <t>คำนวณจากตาราง OCV ; &lt;0.003 = แบน ห้ามแก้</t>
  </si>
  <si>
    <t>α (alpha)</t>
  </si>
  <si>
    <t>น้ำหนักการกรองให้นิ่ง (0.05)</t>
  </si>
  <si>
    <t>ค่าคงที่ในโค้ด ; ต่ำ=นิ่ง สูง=ไว</t>
  </si>
  <si>
    <t>• SoC เริ่มที่ 50% เสมอ → ต้องกด OCV Calibrate ก่อนเริ่มทุกครั้ง ไม่งั้นผิดตั้งแต่ต้น</t>
  </si>
  <si>
    <t>• ตั้งความจุ (rated_capacity) ผิด → % เพี้ยนทันทีตามสัดส่วน</t>
  </si>
  <si>
    <t>• ตาราง OCV ต้องตรงกับแบตจริง (ดูหน้า 'ค่าต่อเคมี') ไม่งั้นแปลงแรงดัน↔% ผิด</t>
  </si>
  <si>
    <t>หน้า 4 :  Rin (mΩ) — ความต้านทานภายใน</t>
  </si>
  <si>
    <t>ความต้านทานในแบต ยิ่งสูง = แบตยิ่งเสื่อม/จ่ายกระแสได้น้อย</t>
  </si>
  <si>
    <t>Internal Resistance — ความต้านทานในตัวแบต หน่วยมิลลิโอห์ม (mΩ)</t>
  </si>
  <si>
    <t>บอกอะไร</t>
  </si>
  <si>
    <t>สุขภาพแบต — ค่าสูงผิดปกติ = แบตเสื่อม/ขั้วหลวม/อุณหภูมิต่ำ</t>
  </si>
  <si>
    <t>แสดงเมื่อ</t>
  </si>
  <si>
    <t>เฉพาะตอนมีกระแสไหล |I| ≥ 0.1A (ตอนพักคำนวณไม่ได้ จะค้างค่าเดิม)</t>
  </si>
  <si>
    <t>ได้มาอย่างไร (2 วิธีผสมกัน)</t>
  </si>
  <si>
    <t>วิธี A — จากโมเดล (base) ใช้ได้ทุกสภาวะ</t>
  </si>
  <si>
    <t>สูตรเต็ม</t>
  </si>
  <si>
    <t>Rin = R0 × (1 + temp_coeff×(25−T)) × (1 + soc_coeff×|SoC−50|) × (1 + aging_coeff×(1−aging))</t>
  </si>
  <si>
    <t>ปรับขนาดแพ็ค</t>
  </si>
  <si>
    <t>× จำนวนเซลล์อนุกรม ÷ จำนวนเซลล์ขนาน</t>
  </si>
  <si>
    <t>R0=ค่าพื้นฐานต่อเซลล์ ; ยิ่งเย็น/SoC สุดขั้ว/แบตเก่า → ความต้านทานสูงขึ้น</t>
  </si>
  <si>
    <t>วิธี B — วัดจริง (Thevenin) ใช้เมื่อกระแสมากพอ</t>
  </si>
  <si>
    <t>เงื่อนไข</t>
  </si>
  <si>
    <t>ใช้ได้เมื่อ |I| ≥ 0.5A เท่านั้น (กระแสน้อยกว่านี้ สัญญาณรบกวนทำให้เพี้ยน)</t>
  </si>
  <si>
    <t>สูตร</t>
  </si>
  <si>
    <t>Rin_raw = |OCV − V| ÷ |I|</t>
  </si>
  <si>
    <t>Rin = 0.6 × Rin_raw + 0.4 × Rin_base   (ถ้า |I|&lt;0.5A ใช้ base ล้วน)</t>
  </si>
  <si>
    <t>คำนวณ</t>
  </si>
  <si>
    <t>battery_model.py : 178  (estimate_rin)</t>
  </si>
  <si>
    <t>แปลงหน่วย</t>
  </si>
  <si>
    <t>× 1000 เปลี่ยน Ohm → mΩ ก่อนแสดง</t>
  </si>
  <si>
    <t>OCV=13.3V, V=13.0V, I=2A</t>
  </si>
  <si>
    <t>Rin_raw = |13.3−13.0| ÷ 2 = 0.15 Ω = 150 mΩ</t>
  </si>
  <si>
    <t>R0</t>
  </si>
  <si>
    <t>ความต้านทานพื้นฐานต่อเซลล์ ที่ 25°C/50% (Ω)</t>
  </si>
  <si>
    <t>จากโปรไฟล์เคมี (ดูหน้า ค่าต่อเคมี)</t>
  </si>
  <si>
    <t>T</t>
  </si>
  <si>
    <t>อุณหภูมิแบตขณะนั้น (°C)</t>
  </si>
  <si>
    <t>จากเซนเซอร์ ESP32 (หน้า Temp)</t>
  </si>
  <si>
    <t>temp_coeff</t>
  </si>
  <si>
    <t>อัตราความต้านทานเพิ่มเมื่อเย็นลง (ต่อ °C)</t>
  </si>
  <si>
    <t>จากโปรไฟล์เคมี (เช่น 0.004)</t>
  </si>
  <si>
    <t>SoC</t>
  </si>
  <si>
    <t>ระดับประจุปัจจุบัน (%)</t>
  </si>
  <si>
    <t>จากหน้า SoC</t>
  </si>
  <si>
    <t>soc_coeff</t>
  </si>
  <si>
    <t>อัตราความต้านทานเพิ่มเมื่อ SoC ห่าง 50%</t>
  </si>
  <si>
    <t>จากโปรไฟล์เคมี</t>
  </si>
  <si>
    <t>aging</t>
  </si>
  <si>
    <t>สภาพแบต (1.0=ใหม่, ต่ำลง=เสื่อม)</t>
  </si>
  <si>
    <t>จาก SoH / cycle count</t>
  </si>
  <si>
    <t>aging_coeff</t>
  </si>
  <si>
    <t>อัตราความต้านทานเพิ่มเมื่อแบตเสื่อม</t>
  </si>
  <si>
    <t>V</t>
  </si>
  <si>
    <t>แรงดันที่ขั้วขณะนั้น (V)</t>
  </si>
  <si>
    <t>วัดตรง (หน้า Voltage)</t>
  </si>
  <si>
    <t>แรงดันเปิดวงจร (V)</t>
  </si>
  <si>
    <t>เปิดตาราง OCV จาก SoC</t>
  </si>
  <si>
    <t>กระแสขณะนั้น (A)</t>
  </si>
  <si>
    <t>series/parallel</t>
  </si>
  <si>
    <t>จำนวนเซลล์อนุกรม/ขนานในแพ็ค</t>
  </si>
  <si>
    <t>จากโปรไฟล์รุ่นแบต</t>
  </si>
  <si>
    <t>• ตอนพัก (|I|&lt;0.5A) ใช้ค่าจากโมเดลล้วน อาจไม่ตรงแบตจริง — เป็นเรื่องปกติของ DC resistance</t>
  </si>
  <si>
    <t>• อยากได้ค่าจริงแม่นๆ (R0/R1/C1) ต้องรัน HPPC Sequence แล้วระบบจะ fit ECM ให้</t>
  </si>
  <si>
    <t>• ค่า R0 พื้นฐานต่อเคมีปรับได้ใน battery_profiles.json (ดูหน้า 'ค่าต่อเคมี')</t>
  </si>
  <si>
    <t>หน้า 5 :  TEMP (°C) — อุณหภูมิ</t>
  </si>
  <si>
    <t>อุณหภูมิผิวแบต วัดจากเซนเซอร์ ESP32</t>
  </si>
  <si>
    <t>อุณหภูมิผิว/เคสแบต หน่วยองศาเซลเซียส</t>
  </si>
  <si>
    <t>วัดตรงจากเซนเซอร์ — ไม่มีการคำนวณ</t>
  </si>
  <si>
    <t>ได้มาอย่างไร</t>
  </si>
  <si>
    <t>1) เซนเซอร์</t>
  </si>
  <si>
    <t>บอร์ด ESP32 อ่านเซนเซอร์อุณหภูมิ แล้วส่งผ่านพอร์ต COM</t>
  </si>
  <si>
    <t>temp = hw.current_temp</t>
  </si>
  <si>
    <t>3) แสดง</t>
  </si>
  <si>
    <t>ทศนิยม 1 ตำแหน่ง + เกจสี เช่น "31.5 °C"</t>
  </si>
  <si>
    <t>สีเตือนบนเกจ</t>
  </si>
  <si>
    <t>เขียว (ปกติ)</t>
  </si>
  <si>
    <t>ต่ำกว่าค่าเตือน (warn)</t>
  </si>
  <si>
    <t>เหลือง (เตือน)</t>
  </si>
  <si>
    <t>ถึงค่า warn</t>
  </si>
  <si>
    <t>แดง (อันตราย)</t>
  </si>
  <si>
    <t>ถึงค่า crit → ระบบหยุดเพื่อความปลอดภัย</t>
  </si>
  <si>
    <t>นำไปใช้ที่ไหน</t>
  </si>
  <si>
    <t>• ป้อนเข้าโมเดล Rin (เย็น→ความต้านทานสูง) และตาราง OCV (โดยเฉพาะแบตตะกั่วที่ไวต่ออุณหภูมิ)</t>
  </si>
  <si>
    <t>• ตรวจความปลอดภัย — เกินขีดจำกัดจะ trigger safety หยุดเทสต์</t>
  </si>
  <si>
    <t>temp</t>
  </si>
  <si>
    <t>อุณหภูมิผิว/เคสแบต (°C)</t>
  </si>
  <si>
    <t>เซนเซอร์ ESP32 → hw.current_temp</t>
  </si>
  <si>
    <t>warn</t>
  </si>
  <si>
    <t>ขีดอุณหภูมิเตือน (เหลือง) (°C)</t>
  </si>
  <si>
    <t>ตั้งใน config (safety_limits)</t>
  </si>
  <si>
    <t>crit</t>
  </si>
  <si>
    <t>ขีดอุณหภูมิอันตราย (แดง) (°C)</t>
  </si>
  <si>
    <t>ตั้งใน config → เกินแล้วหยุดเทสต์</t>
  </si>
  <si>
    <t>25°C</t>
  </si>
  <si>
    <t>ค่า default ถ้าไม่ต่อเซนเซอร์</t>
  </si>
  <si>
    <t>ค่าคงที่ในโค้ด</t>
  </si>
  <si>
    <t>• ถ้าเซนเซอร์ติดผิดตำแหน่ง/หลวม อุณหภูมิเพี้ยน → กระทบการชดเชย Rin และ OCV</t>
  </si>
  <si>
    <t>• ถ้าไม่ต่อ ESP32 ระบบใช้ค่า default 25°C</t>
  </si>
  <si>
    <t>หน้า 6 :  SoH (%) — สุขภาพแบต</t>
  </si>
  <si>
    <t>State of Health — แบตยังเก็บประจุได้กี่ % เทียบกับของใหม่</t>
  </si>
  <si>
    <t>State of Health — ความจุที่วัดได้จริง เทียบกับความจุที่ระบุไว้ (ใหม่=100%)</t>
  </si>
  <si>
    <t>ต่างจาก SoC</t>
  </si>
  <si>
    <t>SoC = ตอนนี้เหลือเท่าไหร่ (เปลี่ยนตลอด) ; SoH = แบตเสื่อมไปแค่ไหน (เปลี่ยนช้า)</t>
  </si>
  <si>
    <t>อัปเดตเมื่อ</t>
  </si>
  <si>
    <t>หลังทำ Full Test (ชาร์จ→พัก→คายประจุ) วิเคราะห์จบแล้วเท่านั้น</t>
  </si>
  <si>
    <t>1) วัดความจุจริง</t>
  </si>
  <si>
    <t>คายประจุเต็มรอบ แล้ว integrate กระแส×เวลา ได้ Ah ที่ปล่อยออกมาจริง</t>
  </si>
  <si>
    <t>2) คำนวณ SoH</t>
  </si>
  <si>
    <t>SoH = (ความจุที่วัดได้ ÷ ความจุที่ระบุ) × 100</t>
  </si>
  <si>
    <t>3) เกณฑ์ EOL</t>
  </si>
  <si>
    <t>ต่ำกว่า 80% ของเดิม หรือ 70% ของ rated = หมดอายุ (ตาม IEC 61960)</t>
  </si>
  <si>
    <t>คำนวณ SoH</t>
  </si>
  <si>
    <t>battery_model.py : 258  (get_soh_from_capacity)</t>
  </si>
  <si>
    <t>วัดความจุ</t>
  </si>
  <si>
    <t>battery_model.py : 264  (calculate_iec61960_capacity)</t>
  </si>
  <si>
    <t>แบตระบุ 7Ah</t>
  </si>
  <si>
    <t>วัดได้จริง 6.1 Ah</t>
  </si>
  <si>
    <t>SoH</t>
  </si>
  <si>
    <t>6.1 ÷ 7 × 100 = 87.1%  (ยังใช้ได้ ยังไม่ถึง EOL)</t>
  </si>
  <si>
    <t>measured_capacity</t>
  </si>
  <si>
    <t>ความจุที่วัดได้จริงจากการคายประจุ (Ah)</t>
  </si>
  <si>
    <t>integrate กระแส×เวลา ตลอดรอบคาย</t>
  </si>
  <si>
    <t>nominal_capacity</t>
  </si>
  <si>
    <t>ความจุที่ระบุ/ของใหม่ (Ah)</t>
  </si>
  <si>
    <t>C-rate</t>
  </si>
  <si>
    <t>อัตราเร็วในการคายประจุ (เท่าของ C)</t>
  </si>
  <si>
    <t>ตั้งในการตั้งค่าเทสต์</t>
  </si>
  <si>
    <t>EOL</t>
  </si>
  <si>
    <t>เกณฑ์หมดอายุ (End of Life)</t>
  </si>
  <si>
    <t>&lt;80% ของเดิม หรือ &lt;70% rated (IEC 61960)</t>
  </si>
  <si>
    <t>• ต้องคายประจุเต็มรอบจริง (เต็ม→หมด) ค่าถึงจะแม่น — เทสต์ครึ่งๆ ได้ค่าเพี้ยน</t>
  </si>
  <si>
    <t>• ความจุที่ระบุ (nominal) ต้องตั้งตรงสเปก ไม่งั้น % ผิด</t>
  </si>
  <si>
    <t>• อัตราคายประจุ (C-rate) มีผล — คายเร็วได้ Ah น้อยกว่า (โดยเฉพาะแบตตะกั่ว/Peukert)</t>
  </si>
  <si>
    <t>หน้า 7 :  ค่าพารามิเตอร์ต่อเคมี</t>
  </si>
  <si>
    <t>ตัวเลขจริงของแต่ละชนิดแบต — ปรับได้ใน battery_profiles.json</t>
  </si>
  <si>
    <t>เคมี</t>
  </si>
  <si>
    <t>R0 (ต่อเซลล์)</t>
  </si>
  <si>
    <t>OCV 0%→100%</t>
  </si>
  <si>
    <t>V ชาร์จเต็ม</t>
  </si>
  <si>
    <t>พิเศษ</t>
  </si>
  <si>
    <t>LiPO</t>
  </si>
  <si>
    <t>25 mΩ</t>
  </si>
  <si>
    <t>3.00 → 4.20 V</t>
  </si>
  <si>
    <t>4.20 V</t>
  </si>
  <si>
    <t>—</t>
  </si>
  <si>
    <t>LiFePO4</t>
  </si>
  <si>
    <t>45 mΩ</t>
  </si>
  <si>
    <t>2.50 → 3.40 V</t>
  </si>
  <si>
    <t>3.65 V</t>
  </si>
  <si>
    <t>plateau แบนช่วงกลาง (SoC เดายาก)</t>
  </si>
  <si>
    <t>Li-ion</t>
  </si>
  <si>
    <t>35 mΩ</t>
  </si>
  <si>
    <t>LeadAcid</t>
  </si>
  <si>
    <t>5 mΩ</t>
  </si>
  <si>
    <t>1.96 → 2.13 V</t>
  </si>
  <si>
    <t>2.40 V (absorption)</t>
  </si>
  <si>
    <t>Nernst +0.40mV/°C, Peukert k=1.30</t>
  </si>
  <si>
    <t>อธิบายค่าสัมประสิทธิ์ในโมเดล Rin (rin dict ใน profile):</t>
  </si>
  <si>
    <t>r0</t>
  </si>
  <si>
    <t>ความต้านทานพื้นฐานต่อเซลล์ ที่ 25°C / 50% SoC</t>
  </si>
  <si>
    <t>ความต้านทานเพิ่มต่อ 1°C ที่เย็นลง (เช่น 0.004 = +0.4%/°C)</t>
  </si>
  <si>
    <t>ความต้านทานเพิ่มเมื่อ SoC ห่างจาก 50%</t>
  </si>
  <si>
    <t>ความต้านทานเพิ่มเมื่อแบตเสื่อม</t>
  </si>
  <si>
    <t>วิธีแก้ค่า</t>
  </si>
  <si>
    <t>ไฟล์</t>
  </si>
  <si>
    <t>aset_batt/core/battery_profiles.json</t>
  </si>
  <si>
    <t>ถ้าไฟล์หาย</t>
  </si>
  <si>
    <t>ระบบใช้ค่า built-in default ใน battery_profiles.py (ค่าในตารางนี้)</t>
  </si>
  <si>
    <t>วัดเอง</t>
  </si>
  <si>
    <t>ปุ่ม Characterize ในแอป จะวัด OCV curve / Peukert / R จริง แล้วบันทึกลง JSON</t>
  </si>
  <si>
    <t>หน้า 8 :  สรุป: จุดปรับความแม่นยำ</t>
  </si>
  <si>
    <t>5 จุดที่ตั้งผิดแล้วค่าเพี้ยน เรียงตามความสำคัญ</t>
  </si>
  <si>
    <t>เรื่อง</t>
  </si>
  <si>
    <t>ตั้งผิดแล้วเป็นยังไง</t>
  </si>
  <si>
    <t>วิธีแก้</t>
  </si>
  <si>
    <t>1. PSU Bleed</t>
  </si>
  <si>
    <t>เครื่องจ่ายไฟดูดกระแสทิ้ง ~0.6A ตอนพัก ถ้าไม่บอกระบบ → นับ Ah ผิดสะสม SoC เพี้ยน</t>
  </si>
  <si>
    <t>ตั้ง 'PSU bleed current' ในหน้า Setup ก่อนกด Connect (PSW 80-40.5 ≈ 0.60A)</t>
  </si>
  <si>
    <t>2. OCV Calibrate</t>
  </si>
  <si>
    <t>SoC เริ่มที่ 50% เสมอ ถ้าไม่ตั้งค่าจริง → ผิดตั้งแต่แรก</t>
  </si>
  <si>
    <t>กดปุ่ม OCV Calibrate ทุกครั้งก่อนเริ่มเทสต์ (ต้องพักแบตให้นิ่งก่อน)</t>
  </si>
  <si>
    <t>3. เลือกชนิดแบต</t>
  </si>
  <si>
    <t>แต่ละเคมีมีตาราง OCV คนละแบบ เลือกผิด → แปลงแรงดัน↔% ผิด</t>
  </si>
  <si>
    <t>เลือก Battery ให้ตรงรุ่นจริงในหน้า Setup</t>
  </si>
  <si>
    <t>4. ความจุ (Capacity)</t>
  </si>
  <si>
    <t>ตั้งความจุผิด เช่นจริง 7Ah ตั้ง 5Ah → % เพี้ยนทันทีตามสัดส่วน</t>
  </si>
  <si>
    <t>ตรวจ rated_capacity ให้ตรงสเปกแบตจริง</t>
  </si>
  <si>
    <t>5. R0 / ECM</t>
  </si>
  <si>
    <t>Rin ตอน idle ใช้ค่าโมเดล อาจไม่ตรงแบตจริง</t>
  </si>
  <si>
    <t>รัน HPPC Sequence → ได้ R0/R1/C1 จริง / หรือแก้ค่าใน JSON</t>
  </si>
  <si>
    <t>ลำดับการใช้งานที่แนะนำ (เพื่อค่าแม่นสุด)</t>
  </si>
  <si>
    <t>1) เลือกชนิด/รุ่นแบต + ตรวจความจุ ให้ตรงจริง</t>
  </si>
  <si>
    <t>2) ตั้ง PSU bleed current ให้ตรงรุ่น PSU</t>
  </si>
  <si>
    <t>3) กด Connect</t>
  </si>
  <si>
    <t>4) พักแบตให้นิ่ง → กด OCV Calibrate (ตั้ง SoC เริ่มต้นให้ตรง)</t>
  </si>
  <si>
    <t>5) เริ่มเทสต์ (Auto Sequence / Quick Scan) ระบบจะ anchor ที่ขอบให้เอง</t>
  </si>
  <si>
    <t>6) ถ้าต้องการ Rin/ECM แม่น → รัน HPPC Sequence</t>
  </si>
  <si>
    <t>R0 · แผนงานตรวจสอบ &amp; ปรับปรุง — Dashboard</t>
  </si>
  <si>
    <t>เลือกสถานะจาก dropdown คอลัมน์ขวาสุด แถบความคืบหน้าจะอัปเดตอัตโนมัติ</t>
  </si>
  <si>
    <t>ความคืบหน้าโดยรวม</t>
  </si>
  <si>
    <t>งานทั้งหมด</t>
  </si>
  <si>
    <t>เสร็จแล้ว</t>
  </si>
  <si>
    <t>กำลังทำ</t>
  </si>
  <si>
    <t>คิดเป็น %</t>
  </si>
  <si>
    <t>#</t>
  </si>
  <si>
    <t>เฟส</t>
  </si>
  <si>
    <t>งาน / Task</t>
  </si>
  <si>
    <t>ผลลัพธ์ที่ต้องได้</t>
  </si>
  <si>
    <t>วัน</t>
  </si>
  <si>
    <t>สถานะ</t>
  </si>
  <si>
    <t>P0</t>
  </si>
  <si>
    <t>เข้าใจโค้ด estimator / battery_model ปัจจุบันให้ครบทุก component</t>
  </si>
  <si>
    <t>เข้าใจทุกส่วน</t>
  </si>
  <si>
    <t>1</t>
  </si>
  <si>
    <t>ยังไม่เริ่ม</t>
  </si>
  <si>
    <t>ตั้งคำถามวิจัย + สมมติฐาน (ดูหน้า R1)</t>
  </si>
  <si>
    <t>เอกสารคำถาม/สมมติฐาน</t>
  </si>
  <si>
    <t>P1</t>
  </si>
  <si>
    <t>ทบทวนวรรณกรรมวิธี SoC/SoH (ดูหน้า R3)</t>
  </si>
  <si>
    <t>ตารางอ้างอิง</t>
  </si>
  <si>
    <t>1–2</t>
  </si>
  <si>
    <t>จัดหมวดความซับซ้อนแต่ละส่วน core/optional (ดูหน้า R2)</t>
  </si>
  <si>
    <t>ตารางประเมินความจำเป็น</t>
  </si>
  <si>
    <t>2</t>
  </si>
  <si>
    <t>P2</t>
  </si>
  <si>
    <t>ออกแบบ flag เปิด/ปิดแต่ละ component ใน estimator</t>
  </si>
  <si>
    <t>สเปก flag</t>
  </si>
  <si>
    <t>เพิ่ม flag ใน state_estimator.py (use_ocv, use_peukert, use_eta, use_temp, alpha)</t>
  </si>
  <si>
    <t>โค้ดรองรับ toggle</t>
  </si>
  <si>
    <t>3</t>
  </si>
  <si>
    <t>เขียนสคริปต์ replay: อ่าน CSV → ป้อน estimator → คำนวณ error</t>
  </si>
  <si>
    <t>replay.py ใช้งานได้</t>
  </si>
  <si>
    <t>3–4</t>
  </si>
  <si>
    <t>ทดสอบ harness กับ log ตัวอย่าง 1 ไฟล์</t>
  </si>
  <si>
    <t>ผลรันถูกต้อง</t>
  </si>
  <si>
    <t>4</t>
  </si>
  <si>
    <t>P3</t>
  </si>
  <si>
    <t>เตรียมแบตอ้างอิง ≥3 ก้อน (อย่างน้อย Li + lead-acid)</t>
  </si>
  <si>
    <t>แบตพร้อม</t>
  </si>
  <si>
    <t>รัน reference cycle (ชาร์จเต็ม→พัก→คาย CC ช้า 0.05–0.1C) เก็บ CSV</t>
  </si>
  <si>
    <t>logs + SoC_true</t>
  </si>
  <si>
    <t>4–7</t>
  </si>
  <si>
    <t>ตรวจคุณภาพข้อมูล (noise / ค่าหาย / เวลาเพี้ยน)</t>
  </si>
  <si>
    <t>logs สะอาด</t>
  </si>
  <si>
    <t>7</t>
  </si>
  <si>
    <t>P4</t>
  </si>
  <si>
    <t>รัน B0: OCV-only</t>
  </si>
  <si>
    <t>error ของ B0</t>
  </si>
  <si>
    <t>8</t>
  </si>
  <si>
    <t>รัน B1: Coulomb-only</t>
  </si>
  <si>
    <t>error ของ B1</t>
  </si>
  <si>
    <t>รัน B2: Coulomb + OCV (แกนหลัก)</t>
  </si>
  <si>
    <t>error ของ B2</t>
  </si>
  <si>
    <t>รัน +Peukert (ทดสอบทั้ง Li และ lead-acid)</t>
  </si>
  <si>
    <t>error +Peukert</t>
  </si>
  <si>
    <t>รัน +Coulombic efficiency (lead-acid)</t>
  </si>
  <si>
    <t>error +Eta</t>
  </si>
  <si>
    <t>9</t>
  </si>
  <si>
    <t>รัน +Temperature compensation</t>
  </si>
  <si>
    <t>error +Temp</t>
  </si>
  <si>
    <t>รัน Full model (ทุก component)</t>
  </si>
  <si>
    <t>error Full</t>
  </si>
  <si>
    <t>กวาดค่า α (0.02–0.2) หาจุดดีสุด</t>
  </si>
  <si>
    <t>α ที่เหมาะ</t>
  </si>
  <si>
    <t>P5</t>
  </si>
  <si>
    <t>รวมผลทุก config ลงตาราง (ดูหน้า R11)</t>
  </si>
  <si>
    <t>ตารางผลครบ</t>
  </si>
  <si>
    <t>10</t>
  </si>
  <si>
    <t>ใช้เกณฑ์ตัดสิน keep/cut (ดูหน้า R9)</t>
  </si>
  <si>
    <t>รายการ keep/cut</t>
  </si>
  <si>
    <t>สรุปโมเดล 'ง่ายสุดที่ยังแม่นพอ'</t>
  </si>
  <si>
    <t>สเปกโมเดลสุดท้าย</t>
  </si>
  <si>
    <t>P6</t>
  </si>
  <si>
    <t>ลบ/ปิด component ที่พิสูจน์แล้วว่าไม่ช่วย</t>
  </si>
  <si>
    <t>โค้ดเรียบง่ายขึ้น</t>
  </si>
  <si>
    <t>11</t>
  </si>
  <si>
    <t>รัน regression เทียบผลก่อน/หลังปรับ</t>
  </si>
  <si>
    <t>ยืนยันไม่แย่ลง</t>
  </si>
  <si>
    <t>11–12</t>
  </si>
  <si>
    <t>อัปเดตเอกสาร/คอมเมนต์ให้ตรงโค้ดใหม่</t>
  </si>
  <si>
    <t>เอกสารตรง</t>
  </si>
  <si>
    <t>12</t>
  </si>
  <si>
    <t>P7</t>
  </si>
  <si>
    <t>ทำกราฟเปรียบเทียบ error แต่ละ config</t>
  </si>
  <si>
    <t>รูปสำหรับสไลด์</t>
  </si>
  <si>
    <t>13</t>
  </si>
  <si>
    <t>เตรียมคำตอบคำถามอาจารย์ (ดูหน้า R13)</t>
  </si>
  <si>
    <t>ชุด Q&amp;A</t>
  </si>
  <si>
    <t>ซ้อมนำเสนอ + ตรวจความสอดคล้องตัวเลข</t>
  </si>
  <si>
    <t>พร้อมป้องกัน</t>
  </si>
  <si>
    <t>14</t>
  </si>
  <si>
    <t>R1 · คำถามวิจัย &amp; สมมติฐาน</t>
  </si>
  <si>
    <t>ตั้งโจทย์ให้ชัดก่อน — เพื่อรู้ว่าจะพิสูจน์อะไร</t>
  </si>
  <si>
    <t>สถานะหน้านี้ ▶</t>
  </si>
  <si>
    <t>คำถามวิจัยหลัก</t>
  </si>
  <si>
    <t>วิธีคำนวณที่ซับซ้อนในระบบ (Coulomb + OCV correction + Peukert + Coulombic efficiency + Temperature compensation + HPPC/ECM) — แต่ละส่วน 'จำเป็น' แค่ไหน? ส่วนใดช่วยลดความคลาดเคลื่อน (SoC/Capacity) อย่างมีนัยสำคัญ และส่วนใดตัดทิ้งได้โดยความแม่นยำไม่ลดลง?</t>
  </si>
  <si>
    <t>สมมติฐาน (ทดสอบได้ด้วยข้อมูลจริง)</t>
  </si>
  <si>
    <t>รหัส</t>
  </si>
  <si>
    <t>สมมติฐาน</t>
  </si>
  <si>
    <t>ทดสอบอย่างไร</t>
  </si>
  <si>
    <t>H1</t>
  </si>
  <si>
    <t>Coulomb + OCV correction เป็นแกนที่จำเป็น — ตัดออกแล้ว error เพิ่มชัดเจน</t>
  </si>
  <si>
    <t>เทียบ B0/B1 กับ B2</t>
  </si>
  <si>
    <t>H2</t>
  </si>
  <si>
    <t>Peukert ช่วยเฉพาะ lead-acid ไม่ช่วย Li-ion (k=1)</t>
  </si>
  <si>
    <t>เปิด Peukert ทั้งสองเคมี เทียบ</t>
  </si>
  <si>
    <t>H3</t>
  </si>
  <si>
    <t>Coulombic efficiency ช่วยลด error การชาร์จ lead-acid ใกล้เต็ม</t>
  </si>
  <si>
    <t>เปิด/ปิด eta บน lead-acid</t>
  </si>
  <si>
    <t>H4</t>
  </si>
  <si>
    <t>Temperature compensation ช่วยเฉพาะเมื่อทดสอบนอกช่วง 20–25°C</t>
  </si>
  <si>
    <t>ทดสอบที่อุณหภูมิต่างกัน</t>
  </si>
  <si>
    <t>H5</t>
  </si>
  <si>
    <t>HPPC/ECM (R0/R1/C1) ไม่กระทบ SoC เฉลี่ย (เป็นเรื่อง dynamic)</t>
  </si>
  <si>
    <t>เทียบ SoC error ±ECM</t>
  </si>
  <si>
    <t>H6</t>
  </si>
  <si>
    <t>มี 'โมเดลง่ายสุดที่ยังแม่นพอ' (RMSE ≤ เกณฑ์) ที่เรียบง่ายกว่าปัจจุบัน</t>
  </si>
  <si>
    <t>หาเซ็ตที่เล็กสุดที่ผ่านเกณฑ์</t>
  </si>
  <si>
    <t>R2 · ประเมินความจำเป็นแต่ละส่วน</t>
  </si>
  <si>
    <t>หมายเหตุ: ทั้งหมดเป็นสูตรฟิสิกส์/สถิติมาตรฐาน — ไม่มี AI/ML</t>
  </si>
  <si>
    <t>ส่วนประกอบ</t>
  </si>
  <si>
    <t>คืออะไร</t>
  </si>
  <si>
    <t>อ้างอิง/มาตรฐาน</t>
  </si>
  <si>
    <t>จำเป็น?</t>
  </si>
  <si>
    <t>เหตุผล</t>
  </si>
  <si>
    <t>ข้อเสนอ</t>
  </si>
  <si>
    <t>Coulomb counting</t>
  </si>
  <si>
    <t>นับประจุเข้า-ออกหา SoC</t>
  </si>
  <si>
    <t>Plett BMS; มาตรฐานอุตสาหกรรม</t>
  </si>
  <si>
    <t>แกนหลัก</t>
  </si>
  <si>
    <t>พื้นฐานของ SoC ระหว่างใช้งาน</t>
  </si>
  <si>
    <t>คงไว้</t>
  </si>
  <si>
    <t>OCV correction</t>
  </si>
  <si>
    <t>แก้ drift ด้วยแรงดันตอนพัก</t>
  </si>
  <si>
    <t>Plett; วิธีพื้นฐานสุด</t>
  </si>
  <si>
    <t>Coulomb อย่างเดียว drift สะสม</t>
  </si>
  <si>
    <t>คงไว้ (tune เกณฑ์)</t>
  </si>
  <si>
    <t>Endpoint anchor</t>
  </si>
  <si>
    <t>รีเซ็ต 0%/100% ที่ขอบ</t>
  </si>
  <si>
    <t>แนวปฏิบัติ LFP</t>
  </si>
  <si>
    <t>แก้ drift บน plateau แบน</t>
  </si>
  <si>
    <t>Exponential smoothing α</t>
  </si>
  <si>
    <t>กรองสัญญาณรบกวน</t>
  </si>
  <si>
    <t>สถิติพื้นฐาน</t>
  </si>
  <si>
    <t>ปรับค่า</t>
  </si>
  <si>
    <t>α มีผล noise/lag</t>
  </si>
  <si>
    <t>หา α ที่ดีด้วยข้อมูล</t>
  </si>
  <si>
    <t>Peukert</t>
  </si>
  <si>
    <t>ปรับความจุตามอัตราคาย</t>
  </si>
  <si>
    <t>Peukert 1897; มีงานวิจารณ์ (Doerffel 2006)</t>
  </si>
  <si>
    <t>มีเงื่อนไข</t>
  </si>
  <si>
    <t>ไม่ช่วย Li (k=1); ถกเถียงเรื่อง SoC</t>
  </si>
  <si>
    <t>เปิดเฉพาะ lead-acid + พิสูจน์</t>
  </si>
  <si>
    <t>Coulombic efficiency</t>
  </si>
  <si>
    <t>ลดประจุชาร์จที่เสียจาก gassing</t>
  </si>
  <si>
    <t>Faraday; ทั่วไปสำหรับ lead-acid</t>
  </si>
  <si>
    <t>สำคัญเฉพาะ lead-acid ใกล้เต็ม</t>
  </si>
  <si>
    <t>Temp OCV + Nernst</t>
  </si>
  <si>
    <t>เลื่อน OCV ตามอุณหภูมิ</t>
  </si>
  <si>
    <t>Nernst; ตำราเคมีไฟฟ้า</t>
  </si>
  <si>
    <t>ผลเล็กถ้าอยู่ ~25°C</t>
  </si>
  <si>
    <t>พิสูจน์ว่าจำเป็นนอกช่วงอุณหภูมิ</t>
  </si>
  <si>
    <t>Rin model factors</t>
  </si>
  <si>
    <t>ปรับ Rin ตาม T/SoC/aging</t>
  </si>
  <si>
    <t>ECM ทั่วไป</t>
  </si>
  <si>
    <t>รอง</t>
  </si>
  <si>
    <t>กระทบ Rin ที่แสดง ไม่ใช่ SoC ตรงๆ</t>
  </si>
  <si>
    <t>ลดความซับซ้อนถ้าไม่ช่วย</t>
  </si>
  <si>
    <t>Thevenin DCIR (live)</t>
  </si>
  <si>
    <t>วัด Rin จาก (OCV−V)/I</t>
  </si>
  <si>
    <t>Ohm/Thevenin</t>
  </si>
  <si>
    <t>ใช้ได้เมื่อกระแสมากพอ</t>
  </si>
  <si>
    <t>คงไว้แบบมีเงื่อนไข</t>
  </si>
  <si>
    <t>HPPC + ECM R0/R1/C1</t>
  </si>
  <si>
    <t>หาโมเดลพลวัตจาก pulse</t>
  </si>
  <si>
    <t>FreedomCAR/INL Battery Test Manual</t>
  </si>
  <si>
    <t>optional/วิจัย</t>
  </si>
  <si>
    <t>ช่วย dynamic ไม่ใช่ SoC เฉลี่ย</t>
  </si>
  <si>
    <t>แยกเป็นโหมดเสริม</t>
  </si>
  <si>
    <t>IEC 61960 calc</t>
  </si>
  <si>
    <t>คำนวณ capacity/SoH ตามมาตรฐาน</t>
  </si>
  <si>
    <t>IEC 61960-3</t>
  </si>
  <si>
    <t>จำเป็นถ้าต้อง compliance</t>
  </si>
  <si>
    <t>ใช้สำหรับรายงานมาตรฐาน</t>
  </si>
  <si>
    <t>R3 · วรรณกรรม &amp; แหล่งอ้างอิง</t>
  </si>
  <si>
    <t>ใช้ยืนยันว่าวิธีที่ใช้เป็นมาตรฐาน ไม่ใช่คิดเอง</t>
  </si>
  <si>
    <t>แหล่ง</t>
  </si>
  <si>
    <t>สนับสนุนเรื่อง</t>
  </si>
  <si>
    <t>ลิงก์/ที่มา</t>
  </si>
  <si>
    <t>G. Plett, Battery Management Systems (เล่ม 1–2)</t>
  </si>
  <si>
    <t>Coulomb counting + OCV correction เป็นวิธีพื้นฐาน/มาตรฐาน</t>
  </si>
  <si>
    <t>ตำรา BMS มาตรฐาน</t>
  </si>
  <si>
    <t>Coulomb counting reviews (IJERT/Renesas)</t>
  </si>
  <si>
    <t>ข้อจำกัด: drift สะสม ต้องมี OCV recalibration</t>
  </si>
  <si>
    <t>ijert.org / renesas.com</t>
  </si>
  <si>
    <t>Doerffel &amp; Sharkh (J. Power Sources 2006)</t>
  </si>
  <si>
    <t>วิจารณ์การใช้ Peukert ทำนาย SoC — แม่นเฉพาะกระแส/อุณหภูมิคงที่</t>
  </si>
  <si>
    <t>sciencedirect.com S0378775305007093</t>
  </si>
  <si>
    <t>Victron — Peukert exponent</t>
  </si>
  <si>
    <t>lead-acid k≈1.25 (ปกติ); แบตอุดมคติ k=1.00</t>
  </si>
  <si>
    <t>victronenergy.com</t>
  </si>
  <si>
    <t>HPPC หา R0/R1/C1 ของ ECM (Thevenin)</t>
  </si>
  <si>
    <t>avt.inl.gov freedomcar_manual</t>
  </si>
  <si>
    <t>IEC 61960-3:2017</t>
  </si>
  <si>
    <t>มาตรฐานทดสอบ capacity แบต Li (คาย 0.2C ที่ 20±5°C)</t>
  </si>
  <si>
    <t>webstore.iec.ch/publication/29603</t>
  </si>
  <si>
    <t>R4 · นิยาม Baseline (ตัวเทียบ)</t>
  </si>
  <si>
    <t>ไล่จากง่ายสุด → ซับซ้อนสุด เพื่อวัดว่าแต่ละชั้นช่วยเท่าไหร่</t>
  </si>
  <si>
    <t>โมเดล</t>
  </si>
  <si>
    <t>ใช้อะไร</t>
  </si>
  <si>
    <t>คาดหวัง</t>
  </si>
  <si>
    <t>B0 OCV-only</t>
  </si>
  <si>
    <t>เปิดตาราง OCV จากแรงดันทันที ไม่นับประจุ</t>
  </si>
  <si>
    <t>แย่ระหว่างใช้งาน (โดยเฉพาะ LFP plateau)</t>
  </si>
  <si>
    <t>B1 Coulomb-only</t>
  </si>
  <si>
    <t>นับประจุล้วน ไม่มี OCV correction</t>
  </si>
  <si>
    <t>ดีช่วงสั้น แต่ drift สะสมเมื่อเวลานาน</t>
  </si>
  <si>
    <t>B2 Coulomb + OCV (แกนหลัก)</t>
  </si>
  <si>
    <t>นับประจุ + แก้ด้วย OCV ตอนพัก + anchor</t>
  </si>
  <si>
    <t>น่าจะ 'พอ' สำหรับงานส่วนใหญ่</t>
  </si>
  <si>
    <t>Full (ปัจจุบัน)</t>
  </si>
  <si>
    <t>B2 + Peukert + eta + temp + Rin model</t>
  </si>
  <si>
    <t>ดีสุดตามทฤษฎี — ต้องพิสูจน์ว่าคุ้มความซับซ้อน</t>
  </si>
  <si>
    <t>R5 · ค่าอ้างอิงจริง (Ground Truth)</t>
  </si>
  <si>
    <t>ไม่มีตัวเทียบ = วัดความแม่นไม่ได้</t>
  </si>
  <si>
    <t>วิธีหา SoC/Capacity จริง</t>
  </si>
  <si>
    <t>ขั้นตอน</t>
  </si>
  <si>
    <t>รายละเอียด</t>
  </si>
  <si>
    <t>1) ชาร์จเต็ม</t>
  </si>
  <si>
    <t>CC-CV จนกระแส tail (แบตเต็มจริง = 100%)</t>
  </si>
  <si>
    <t>2) พักนาน</t>
  </si>
  <si>
    <t>พัก 1–2 ชม. ให้แรงดันนิ่ง</t>
  </si>
  <si>
    <t>3) คายประจุช้า</t>
  </si>
  <si>
    <t>CC ที่ 0.05–0.1C จนถึง cutoff ที่อุณหภูมิคงที่</t>
  </si>
  <si>
    <t>4) คำนวณ Capacity จริง</t>
  </si>
  <si>
    <t>Cap_true = ∫ I dt (Ah ที่ปล่อยออกทั้งหมด)</t>
  </si>
  <si>
    <t>5) คำนวณ SoC จริงตลอดเส้น</t>
  </si>
  <si>
    <t>SoC_true(t) = 100 × (1 − Ah_ปล่อยถึง t / Cap_true)</t>
  </si>
  <si>
    <t>6) ทำซ้ำ</t>
  </si>
  <si>
    <t>≥3 ก้อน, อย่างน้อย 2 เคมี (Li + lead-acid)</t>
  </si>
  <si>
    <t>เหตุผล: คายช้าๆ ทำให้ผลของ Rin/Peukert น้อยมาก → ได้เส้น SoC ที่ใกล้ 'ของจริง' ที่สุด ใช้เป็นไม้บรรทัดเทียบ estimator ทุกแบบบนข้อมูลชุดเดียวกัน</t>
  </si>
  <si>
    <t>R6 · Replay Harness — กุญแจให้เสร็จใน 1–2 สัปดาห์</t>
  </si>
  <si>
    <t>บันทึกครั้งเดียว เล่นซ้ำได้ไม่จำกัด</t>
  </si>
  <si>
    <t>ปัญหา: cycle แบตจริง 1 รอบใช้เวลาหลายชั่วโมง — ทดสอบหลายสิบ config แบบ cycle ใหม่ทุกครั้งไม่ทัน</t>
  </si>
  <si>
    <t>วิธีแก้: รันแบบ offline</t>
  </si>
  <si>
    <t>1) อัดข้อมูลครั้งเดียว</t>
  </si>
  <si>
    <t>บันทึก CSV (t, V, I, T) จาก reference cycle (มีอยู่แล้วในระบบ log)</t>
  </si>
  <si>
    <t>2) เพิ่ม flag ใน estimator</t>
  </si>
  <si>
    <t>use_ocv, use_peukert, use_eta, use_temp, alpha — เปิด/ปิดได้</t>
  </si>
  <si>
    <t>3) เขียน replay.py</t>
  </si>
  <si>
    <t>อ่าน CSV → ป้อน estimator ทีละแถว → เก็บ SoC_est</t>
  </si>
  <si>
    <t>4) เทียบกับ SoC_true</t>
  </si>
  <si>
    <t>คำนวณ RMSE/max error เทียบเส้นอ้างอิง</t>
  </si>
  <si>
    <t>5) วนทุก config</t>
  </si>
  <si>
    <t>รันได้เป็นร้อยแบบใน 1 วัน เพราะไม่ต้องแตะฮาร์ดแวร์</t>
  </si>
  <si>
    <t>จุดแก้โค้ด: state_estimator.py (เพิ่ม flag ใน __init__ + ครอบเงื่อนไขใน update) และเขียน replay.py ใหม่ (ไม่กระทบ GUI/ฮาร์ดแวร์)</t>
  </si>
  <si>
    <t>R7 · ตารางทดลอง Ablation</t>
  </si>
  <si>
    <t>✓ = เปิด, — = ปิด</t>
  </si>
  <si>
    <t>Config</t>
  </si>
  <si>
    <t>Coulomb</t>
  </si>
  <si>
    <t>Eta</t>
  </si>
  <si>
    <t>Temp</t>
  </si>
  <si>
    <t>ทดสอบสมมติฐาน</t>
  </si>
  <si>
    <t>✓</t>
  </si>
  <si>
    <t>B2 แกนหลัก</t>
  </si>
  <si>
    <t>H1, H6</t>
  </si>
  <si>
    <t>+Peukert (Li)</t>
  </si>
  <si>
    <t>+Peukert (lead)</t>
  </si>
  <si>
    <t>+Eta (lead)</t>
  </si>
  <si>
    <t>+Temp</t>
  </si>
  <si>
    <t>Full</t>
  </si>
  <si>
    <t>R8 · ตัวชี้วัดความแม่นยำ</t>
  </si>
  <si>
    <t>วัดด้วยตัวเลขเดียวกันทุก config</t>
  </si>
  <si>
    <t>ตัวชี้วัด</t>
  </si>
  <si>
    <t>เกณฑ์เป้า (ตั้งเอง)</t>
  </si>
  <si>
    <t>SoC RMSE (%)</t>
  </si>
  <si>
    <t>รากที่สองของค่าเฉลี่ยกำลังสองของ (SoC_est − SoC_true)</t>
  </si>
  <si>
    <t>≤ 3%</t>
  </si>
  <si>
    <t>SoC Max |error| (%)</t>
  </si>
  <si>
    <t>ความคลาดสูงสุดตลอดรอบ</t>
  </si>
  <si>
    <t>≤ 5%</t>
  </si>
  <si>
    <t>Capacity error (%)</t>
  </si>
  <si>
    <t>|Cap_est − Cap_true| / Cap_true × 100</t>
  </si>
  <si>
    <t>Endpoint error (%)</t>
  </si>
  <si>
    <t>ความคลาดที่ 0% และ 100%</t>
  </si>
  <si>
    <t>≤ 2%</t>
  </si>
  <si>
    <t>ความซับซ้อน</t>
  </si>
  <si>
    <t>จำนวน component ที่เปิด (ยิ่งน้อยยิ่งดีถ้า error ใกล้กัน)</t>
  </si>
  <si>
    <t>ต่ำสุดที่ผ่านเกณฑ์</t>
  </si>
  <si>
    <t>R9 · เกณฑ์ตัดสิน keep / cut</t>
  </si>
  <si>
    <t>ตัดสินด้วยตัวเลข ไม่ใช่ความรู้สึก (Occam's razor)</t>
  </si>
  <si>
    <t>กฎ</t>
  </si>
  <si>
    <t>เก็บ (keep)</t>
  </si>
  <si>
    <t>ถ้าเปิด component แล้วลด SoC RMSE ได้ ≥ 1% (absolute) อย่างมีนัย → คุ้มความซับซ้อน</t>
  </si>
  <si>
    <t>ตัด (cut)</t>
  </si>
  <si>
    <t>ถ้าลด RMSE &lt; 1% หรือไม่ต่างกัน → ตัดทิ้ง (เรียบง่ายกว่าโดยไม่เสียความแม่น)</t>
  </si>
  <si>
    <t>ถ้าช่วยเฉพาะบางเคมี/อุณหภูมิ → เปิดเฉพาะกรณีนั้น ไม่เปิดทั่วไป</t>
  </si>
  <si>
    <t>ความเป็นธรรม</t>
  </si>
  <si>
    <t>ทุก config ต้องเทียบบนข้อมูลชุดเดียวกัน (logs เดียวกัน)</t>
  </si>
  <si>
    <t>รายงานครบ</t>
  </si>
  <si>
    <t>บันทึกทั้งที่ keep และ cut พร้อมตัวเลข — เพื่อความโปร่งใส</t>
  </si>
  <si>
    <t>R10 · แผนงานราย 14 วัน</t>
  </si>
  <si>
    <t>ตั้งสถานะรายวันได้จาก dropdown ขวาสุด</t>
  </si>
  <si>
    <t>งานหลัก</t>
  </si>
  <si>
    <t>ผลที่ได้</t>
  </si>
  <si>
    <t>เข้าใจโค้ด + ตั้งคำถาม/สมมติฐาน</t>
  </si>
  <si>
    <t>R1 เสร็จ</t>
  </si>
  <si>
    <t>ทบทวนวรรณกรรม + จัดหมวด (R2/R3) + ออกแบบ flag</t>
  </si>
  <si>
    <t>R2/R3 เสร็จ</t>
  </si>
  <si>
    <t>เพิ่ม flag ใน estimator + เริ่มเขียน replay.py</t>
  </si>
  <si>
    <t>โค้ด toggle ได้</t>
  </si>
  <si>
    <t>ทดสอบ harness + เริ่มอัด reference cycle ก้อนแรก</t>
  </si>
  <si>
    <t>harness ผ่าน</t>
  </si>
  <si>
    <t>5–7</t>
  </si>
  <si>
    <t>อัด reference cycles ครบ (รันทิ้งไว้) + ตรวจคุณภาพ</t>
  </si>
  <si>
    <t>รัน B0/B1/B2 + Peukert</t>
  </si>
  <si>
    <t>ผลแกนหลัก</t>
  </si>
  <si>
    <t>รัน Eta/Temp/Full + กวาด α</t>
  </si>
  <si>
    <t>ผลครบทุก config</t>
  </si>
  <si>
    <t>รวมผล + ตัดสิน keep/cut + สรุปโมเดล</t>
  </si>
  <si>
    <t>โมเดลสุดท้าย</t>
  </si>
  <si>
    <t>Refactor (ตัดส่วนไม่ช่วย) + regression</t>
  </si>
  <si>
    <t>ทำกราฟ + เตรียม Q&amp;A อาจารย์</t>
  </si>
  <si>
    <t>สไลด์/Q&amp;A</t>
  </si>
  <si>
    <t>ซ้อมนำเสนอ + ตรวจตัวเลข</t>
  </si>
  <si>
    <t>R11 · ตารางบันทึกผลการทดลอง</t>
  </si>
  <si>
    <t>กรอกตัวเลขจริงหลังรัน แล้วเลือกสรุป keep/cut</t>
  </si>
  <si>
    <t>SoC RMSE %</t>
  </si>
  <si>
    <t>Max err %</t>
  </si>
  <si>
    <t>Cap err %</t>
  </si>
  <si>
    <t>สรุป</t>
  </si>
  <si>
    <t>หมายเหตุ: ช่อง RMSE/error เว้นไว้ให้กรอกหลังรัน replay — เปรียบเทียบ B2 (แกนหลัก) กับ Full ถ้าตัวเลขใกล้กัน แปลว่าส่วนเสริมไม่คุ้มความซับซ้อน</t>
  </si>
  <si>
    <t>R12 · ความเสี่ยง &amp; การรับมือ</t>
  </si>
  <si>
    <t>เตรียมไว้ก่อนเกิด</t>
  </si>
  <si>
    <t>ความเสี่ยง</t>
  </si>
  <si>
    <t>ผลกระทบ</t>
  </si>
  <si>
    <t>การรับมือ</t>
  </si>
  <si>
    <t>reference cycle ใช้เวลานานเกิน</t>
  </si>
  <si>
    <t>เก็บข้อมูลไม่ทัน</t>
  </si>
  <si>
    <t>รันคายช้าทิ้งไว้ข้ามคืน/ขนานหลายก้อน</t>
  </si>
  <si>
    <t>ข้อมูล log มี noise/หาย</t>
  </si>
  <si>
    <t>error คำนวณเพี้ยน</t>
  </si>
  <si>
    <t>ตรวจคุณภาพก่อน + กรองข้อมูลเสีย</t>
  </si>
  <si>
    <t>SoC_true เองก็ไม่เป๊ะ</t>
  </si>
  <si>
    <t>เทียบไม่ยุติธรรม</t>
  </si>
  <si>
    <t>คายช้ามากๆ + อุณหภูมิคงที่ + ทำซ้ำ</t>
  </si>
  <si>
    <t>ผลต่างกันตามเคมี</t>
  </si>
  <si>
    <t>สรุปรวมยาก</t>
  </si>
  <si>
    <t>แยกวิเคราะห์ต่อเคมี ไม่เหมารวม</t>
  </si>
  <si>
    <t>แก้โค้ดทำของเดิมพัง</t>
  </si>
  <si>
    <t>ระบบใช้ไม่ได้</t>
  </si>
  <si>
    <t>ใช้ flag (ไม่ลบของเดิม) + regression test</t>
  </si>
  <si>
    <t>R13 · เตรียมตอบอาจารย์ (Defense Q&amp;A)</t>
  </si>
  <si>
    <t>คำถามที่อาจโดน + คำตอบที่มีหลักฐาน</t>
  </si>
  <si>
    <t>คำถามที่อาจารย์อาจถาม</t>
  </si>
  <si>
    <t>คำตอบ</t>
  </si>
  <si>
    <t>นี่ใช้ AI/ML ไหม?</t>
  </si>
  <si>
    <t>ไม่ ทั้งหมดเป็นสูตรฟิสิกส์/สถิติมาตรฐาน อ้างอิง Plett, FreedomCAR, IEC 61960, Peukert</t>
  </si>
  <si>
    <t>ทำไมไม่ใช้แค่ OCV อ่านแรงดันก็รู้ %?</t>
  </si>
  <si>
    <t>LFP มี plateau แบน — แรงดันเพี้ยนนิดเดียว SoC เพี้ยนมาก จึงต้อง Coulomb counting ระหว่างใช้งาน</t>
  </si>
  <si>
    <t>ซับซ้อนเกินจำเป็นหรือเปล่า?</t>
  </si>
  <si>
    <t>เราทำ ablation study พิสูจน์ทีละส่วน — เก็บเฉพาะที่ลด error จริง ตัดส่วนที่ไม่ช่วย</t>
  </si>
  <si>
    <t>Peukert จำเป็นกับ Li ไหม?</t>
  </si>
  <si>
    <t>ไม่ k=1 (ไม่ทำอะไร) เปิดเฉพาะ lead-acid และมีงานวิจารณ์ (Doerffel 2006) เราจึง validate</t>
  </si>
  <si>
    <t>รู้ได้ไงว่าแม่น? เทียบกับอะไร?</t>
  </si>
  <si>
    <t>สร้าง ground truth จากการคายช้า (slow CC) เป็นไม้บรรทัด เทียบทุก config บนข้อมูลชุดเดียวกัน</t>
  </si>
  <si>
    <t>ทำไม α = 0.05?</t>
  </si>
  <si>
    <t>เป็น trade-off noise/lag เรากวาดค่า α ด้วยข้อมูลจริงเพื่อหาจุดเหมาะ ไม่ได้เดา</t>
  </si>
  <si>
    <t>ทำเสร็จในเวลาจำกัดได้ยังไง?</t>
  </si>
  <si>
    <t>ใช้ replay offline — อัดข้อมูลครั้งเดียว เล่นซ้ำได้ทุก config ไม่ต้อง cycle ใหม่</t>
  </si>
  <si>
    <t>ถ้าตัดออกแล้วแย่ลงล่ะ?</t>
  </si>
  <si>
    <t>เราเก็บทุกตัวเลข keep/cut ถ้าส่วนไหนช่วยจริงก็เก็บไว้ — การตัดสินอิงหลักฐาน</t>
  </si>
  <si>
    <t>P1 · วัด Peukert k จริง — FB FTZ6V</t>
  </si>
  <si>
    <t>ตอนนี้ใช้ k=1.30 (literature VRLA) — แบตที่ aged อาจต่างได้ถึง +-0.15 — k ผิด 0.1 ทำให้ SoC ที่กระแสสูงเพี้ยนได้ถึง 25%</t>
  </si>
  <si>
    <t>หลักการ: Peukert's Law</t>
  </si>
  <si>
    <t>t x I^k = const  -&gt;  log t = -k*log I + C  (กราฟ log-log เส้นตรง slope = -k)</t>
  </si>
  <si>
    <t>ผลต่อโค้ด: state_estimator._peukert_dah()  -&gt;  scale = (I/I_rated)^(k-1)  -&gt;  dAh *= scale</t>
  </si>
  <si>
    <t>PROTOCOL — 4 DISCHARGE RUNS</t>
  </si>
  <si>
    <t>Run</t>
  </si>
  <si>
    <t>กระแส (A)</t>
  </si>
  <si>
    <t>เวลาคาดหวัง (h)</t>
  </si>
  <si>
    <t>หมายเหตุ</t>
  </si>
  <si>
    <t>0.53 A</t>
  </si>
  <si>
    <t>0.1C</t>
  </si>
  <si>
    <t>~10</t>
  </si>
  <si>
    <t>1.06 A</t>
  </si>
  <si>
    <t>0.2C</t>
  </si>
  <si>
    <t>~4.5</t>
  </si>
  <si>
    <t>2.65 A</t>
  </si>
  <si>
    <t>0.5C</t>
  </si>
  <si>
    <t>~1.5</t>
  </si>
  <si>
    <t>5.30 A</t>
  </si>
  <si>
    <t>1.0C</t>
  </si>
  <si>
    <t>~0.6</t>
  </si>
  <si>
    <t>optional — ยืนยัน k ที่กระแสสูง</t>
  </si>
  <si>
    <t>ชาร์จให้เต็ม (endpoint anchor ยึด) + rest &gt;= 30 min ก่อนทุก run  —  SoC initial ต่างกันได้ แต่ t ต้องนับจากเต็ม</t>
  </si>
  <si>
    <t>วิธีคำนวณ k จาก CSV</t>
  </si>
  <si>
    <t>import numpy as np
I = [0.53, 1.06, 2.65, 5.30]           # A
t = [t1, t2, t3, t4]                   # discharge duration (h) จนถึง UVP 10.5V
log_I = np.log(I)
log_t = np.log(t)
k, c = np.polyfit(log_I, log_t, 1)      # slope = -k
k_measured = -k
print(f'k = {k_measured:.3f}')          # expect 1.2 - 1.4 for VRLA</t>
  </si>
  <si>
    <t>อัปเดต battery_profiles.json</t>
  </si>
  <si>
    <t># battery_profiles.json -&gt; LeadAcid:
"peukert_k": 1.28,       # &lt;-- ค่าที่วัดได้
"peukert_hr": 10.0       # ยืนยันจาก run 1 (0.1C = C10)</t>
  </si>
  <si>
    <t>ผลกระทบของ k ต่อ SoC ที่ I = 5.3A (1C)</t>
  </si>
  <si>
    <t>k</t>
  </si>
  <si>
    <t>scale = 10^(k-1)</t>
  </si>
  <si>
    <t>SoC ลดเร็วขึ้น</t>
  </si>
  <si>
    <t>ผลต่าง</t>
  </si>
  <si>
    <t>1.20</t>
  </si>
  <si>
    <t>1.585</t>
  </si>
  <si>
    <t>+58.5%</t>
  </si>
  <si>
    <t>1.30</t>
  </si>
  <si>
    <t>1.995</t>
  </si>
  <si>
    <t>+99.5%</t>
  </si>
  <si>
    <t>~25% ต่างจาก k=1.2</t>
  </si>
  <si>
    <t>1.40</t>
  </si>
  <si>
    <t>2.512</t>
  </si>
  <si>
    <t>+151%</t>
  </si>
  <si>
    <t>k ผิด 0.1 -&gt; SoC error ที่กระแสสูงถึง ~25%  —  วัดให้แม่นก่อนปรับอย่างอื่น</t>
  </si>
  <si>
    <t>P2 · วัด Coulomb Efficiency (eta) จริง — FB FTZ6V</t>
  </si>
  <si>
    <t>ตอนนี้ eta=0.97/0.92/0.75 มาจาก literature — แบตที่ aged มักมี gassing มากกว่า -&gt; eta ตกลง ต้องวัดเองสำหรับ FTZ6V</t>
  </si>
  <si>
    <t>PROTOCOL — 1 FULL CHARGE-DISCHARGE CYCLE</t>
  </si>
  <si>
    <t>ขั้น 1: Discharge ให้หมด  —  discharge ที่ 0.53A จนถึง UVP (10.5V) — บันทึก Ah_out = sum(|I|*dt)</t>
  </si>
  <si>
    <t>ขั้น 2: Rest 60 min  —  รอ surface charge คืน</t>
  </si>
  <si>
    <t>ขั้น 3: Charge 3-stage จนเต็ม  —  รอ endpoint anchor ยึด (I_tail &lt;= 0.11A) — บันทึก Ah_in_total = sum(|I|*dt)</t>
  </si>
  <si>
    <t>ขั้น 4: แบ่งช่วง SoC  —  อ่านจาก CSV แบ่ง Ah_in ตาม SoC: 0-75%, 75-90%, 90-100%</t>
  </si>
  <si>
    <t>สูตรคำนวณ</t>
  </si>
  <si>
    <t>eta_overall = Ah_out / Ah_in_total
# ตัวอย่าง: discharge=4.20Ah, charge=4.80Ah
# eta_overall = 4.20/4.80 = 0.875 (87.5%)
# per-SoC-band (จาก CSV SoC column):
# Ah_in_0_75   = Ah ระหว่าง SoC 0-&gt;75%   (bulk)
# Ah_in_75_90  = Ah ระหว่าง SoC 75-&gt;90%  (absorption)
# Ah_in_90_100 = Ah ระหว่าง SoC 90-&gt;100% (gassing)
# eta per band = Ah_stored / Ah_in_band</t>
  </si>
  <si>
    <t>อัปเดตโค้ด (state_estimator._coulomb_eta)</t>
  </si>
  <si>
    <t># แก้ค่าตาม measurement:
if soc &lt; 75.0:  return 0.97   # -&gt; ใส่ค่าวัดได้ เช่น 0.95
if soc &lt; 90.0:  return 0.92   # -&gt; ใส่ค่าวัดได้ เช่น 0.85
return 0.75                   # -&gt; ใส่ค่าวัดได้ มักต่ำกว่านี้ถ้า aged</t>
  </si>
  <si>
    <t>แบตใหม่ vs แบต AGED (FTZ6V กรณีนี้)</t>
  </si>
  <si>
    <t>ช่วง SoC</t>
  </si>
  <si>
    <t>แบตใหม่ (TYPICAL)</t>
  </si>
  <si>
    <t>แบต AGED (FTZ6V)</t>
  </si>
  <si>
    <t>0-75%  (bulk)</t>
  </si>
  <si>
    <t>eta ~= 0.97</t>
  </si>
  <si>
    <t>eta ~= 0.95</t>
  </si>
  <si>
    <t>-2%</t>
  </si>
  <si>
    <t>75-90% (absorb)</t>
  </si>
  <si>
    <t>eta ~= 0.92</t>
  </si>
  <si>
    <t>eta ~= 0.85</t>
  </si>
  <si>
    <t>-7%</t>
  </si>
  <si>
    <t>90-100% (full)</t>
  </si>
  <si>
    <t>eta ~= 0.75</t>
  </si>
  <si>
    <t>eta ~= 0.60</t>
  </si>
  <si>
    <t>-15%</t>
  </si>
  <si>
    <t>overall</t>
  </si>
  <si>
    <t>~= 88-90%</t>
  </si>
  <si>
    <t>~= 80-85%</t>
  </si>
  <si>
    <t>P3 · สร้าง OCV-SoC Table จากแบตตัวจริง — GITT</t>
  </si>
  <si>
    <t>ตาราง generic VRLA ในโค้ด: OCV แบตใหม่ที่ 25C — แบต aged sulfation ทำให้ OCV ต่ำกว่า 10-30 mV/เซลล์ -&gt; error 2-5% SoC</t>
  </si>
  <si>
    <t>วิธีที่แนะนำ — GITT แบบง่าย (HYBRID)  [ใช้เวลา ~22 ชั่วโมง]</t>
  </si>
  <si>
    <t>ขั้น 1: ชาร์จให้เต็ม -&gt; SoC = 100%</t>
  </si>
  <si>
    <t>ขั้น 2: Discharge 0.1C (0.53A) นาน 36 min = 5% SoC  (จาก rated C10=10h -&gt; 0.1C * 36min = 5%)</t>
  </si>
  <si>
    <t>ขั้น 3: หยุด -&gt; rest 30 min -&gt; บันทึก V_rest  (รอจน dV/dt &lt; 1 mV/min -&gt; นั่นคือ OCV ที่ SoC นั้น)</t>
  </si>
  <si>
    <t>ขั้น 4: ทำซ้ำ 20 รอบ -&gt; SoC 100%, 95%, 90%,... 0%  (รวมเวลา: 20 * (36+30) min = 22 ชั่วโมง)</t>
  </si>
  <si>
    <t>SCRIPT วิเคราะห์ CSV</t>
  </si>
  <si>
    <t>import pandas as pd, numpy as np, json
df = pd.read_csv('session_gitt.csv')
# หา rest windows: I ~= 0 นาน &gt; 25 min
rest_mask = (df['Current_A'].abs() &lt; 0.05)
# group consecutive rows -&gt; เอา mean(V) ของ 5 นาทีสุดท้าย
# soc_pct = 100 - (Ah_discharged / C_rated) * 100
results = [(soc_pct, ocv_per_cell), ...]  # fill from your data
table = {str(soc): round(ocv, 4) for soc, ocv in results}
print(json.dumps(table, indent=2))</t>
  </si>
  <si>
    <t>"FB FTZ6V (12V 5.3Ah VRLA AGM)": {
  "chemistry": "LeadAcid",
  "ocv_curve_override": {
    "0": 1.942, "5": 1.963, "10": 1.978, "15": 1.990, ..., "100": 2.115
  }
}</t>
  </si>
  <si>
    <t>ต้องเพิ่ม support ocv_curve_override ใน battery_profiles.py และ battery_model.py — ยังไม่มีในโค้ดปัจจุบัน (feature ที่ต้องทำ)</t>
  </si>
  <si>
    <t>เปรียบเทียบวิธี</t>
  </si>
  <si>
    <t>วิธี</t>
  </si>
  <si>
    <t>ข้อดี</t>
  </si>
  <si>
    <t>ข้อเสีย</t>
  </si>
  <si>
    <t>GITT (แนะนำ)</t>
  </si>
  <si>
    <t>แม่นที่สุด — V relaxed ครบ</t>
  </si>
  <si>
    <t>นาน ~22 ชั่วโมง</t>
  </si>
  <si>
    <t>C/20 discharge (0.265A)</t>
  </si>
  <si>
    <t>เร็วกว่า ไม่ต้อง rest
V_OCV = V_meas - I*R0 ~= V_meas - 8mV/cell</t>
  </si>
  <si>
    <t>accuracy ต่ำกว่าเล็กน้อย</t>
  </si>
  <si>
    <t>generic table (ปัจจุบัน)</t>
  </si>
  <si>
    <t>ไม่ต้องทำอะไร</t>
  </si>
  <si>
    <t>error 2-5% SoC ที่ SoC 40-60% สำหรับแบต aged</t>
  </si>
  <si>
    <t>P4 · Extended Kalman Filter (EKF) — 1-RC Thevenin Model</t>
  </si>
  <si>
    <t>แทนที่ exponential smoothing ด้วย EKF ที่รวม OCV correction + RC dynamics ในตัวกรองเดียว</t>
  </si>
  <si>
    <t>State Vector และ Model</t>
  </si>
  <si>
    <t>x[0] = SoC ,  x[1] = V_RC (แรงดันคร่อม R1||C1 ใน Thevenin model)</t>
  </si>
  <si>
    <t>Measurement z = V_terminal = OCV(SoC) + I*R0 + V_RC</t>
  </si>
  <si>
    <t>PREDICT ทุก timestep</t>
  </si>
  <si>
    <t>tau      = R1 * C1
SoC_pred = SoC_k - eta(SoC)*I*dt / (3600*C_rated)
VRC_pred = exp(-dt/tau)*V_RC_k + R1*(1 - exp(-dt/tau))*I
x_minus  = [SoC_pred, VRC_pred]
P_minus  = F @ P @ F.T + Q</t>
  </si>
  <si>
    <t>UPDATE ทุก timestep</t>
  </si>
  <si>
    <t>V_pred  = OCV(x_minus[0]) + I*R0 + x_minus[1]
H       = [dOCV_dSoC, 1]
S       = H @ P_minus @ H.T + R
K       = P_minus @ H.T / S          # Kalman gain
x_plus  = x_minus + K*(V_meas - V_pred)
P       = (I_mat - K @ H) @ P_minus</t>
  </si>
  <si>
    <t>Jacobian F (Process) &amp; H (Measurement)</t>
  </si>
  <si>
    <t># F = [[1, 0], [0, exp(-dt/tau)]]
# SoC  -&gt; SoC:  1  (Coulomb counting linear)
# V_RC -&gt; V_RC: RC decay factor  (no cross-coupling)
# H = [dOCV/dSoC, 1]
# Lead-Acid: slope ~= 0.0016 V/cell per %SoC -&gt; ~0.010 V/pack per %
# LFP: slope ~= 0 ตรงกลาง -&gt; EKF correction อ่อน -&gt; เสริมด้วย endpoint resets
def ocv_slope(soc, model, dsoc=1.0):
    return (model.get_ocv_from_soc(soc+dsoc) - model.get_ocv_from_soc(soc-dsoc)) / (2*dsoc)</t>
  </si>
  <si>
    <t>Initialization</t>
  </si>
  <si>
    <t>x0 = [SoC_from_OCV_stable, 0.0]   # V_RC = 0 เมื่อเพิ่งพักนาน
P0 = diag([25.0, 0.01])            # SoC +-5%, V_RC +-0.1V
# P0 ใหญ่ -&gt; EKF correct เร็วในช่วงแรก</t>
  </si>
  <si>
    <t>EKF ต้องการ OCV slope != 0 เพื่อ update SoC ได้ — Lead-Acid ดี; LFP plateau ตรงกลาง EKF อ่อน ต้องเสริมด้วย endpoint resets</t>
  </si>
  <si>
    <t>P5 · Tuning Noise Covariance: Q และ R</t>
  </si>
  <si>
    <t>Q และ R คือ parameter ที่ critical ที่สุดของ EKF — Q ใหญ่เกิน: SoC กระโดด; Q เล็กเกิน: SoC drift ไม่หาย</t>
  </si>
  <si>
    <t>R — MEASUREMENT NOISE (ค่อนข้าง FIX ได้)</t>
  </si>
  <si>
    <t>R = variance ของ V_terminal measurement = (noise rms)^2</t>
  </si>
  <si>
    <t># SCPI readback noise: ~1 mV rms (จาก spec GW PEL-3111)
R = (0.001)**2   # = 1e-6 V^2
# ทดสอบจริง: วัด V แบตที่ rest นาน 10 min 100 ครั้ง
# R = std(V)**2</t>
  </si>
  <si>
    <t>Q — PROCESS NOISE (ต้อง TUNE)</t>
  </si>
  <si>
    <t># Q[0,0]: uncertainty ต่อ step ใน SoC
# แหล่ง: eta error + current sensor noise + Peukert error
# ถ้า eta ไม่รู้แน่ +-5%, I=1A, dt=0.2s, C=5.3Ah:
# sigma_SoC = 0.05*1*0.2/(3600*5.3)*100 ~= 5.3e-5 %/step
# Q[0,0] = sigma_SoC**2 ~= 2.8e-9  (starting point)
# Q[1,1]: uncertainty ใน V_RC model (R1, C1 ไม่แน่นอน)
# ถ้า R1 error +-20%, I=1A: sigma_VRC = 0.20*0.020*1 ~= 4 mV
# Q[1,1] = (0.004)**2 = 1.6e-5  (starting point)</t>
  </si>
  <si>
    <t>SYSTEMATIC TUNING STEPS</t>
  </si>
  <si>
    <t>ขั้น 1: Fix R จาก voltage sensor spec  —  วัด noise จริงหรือใช้ 1e-6 (1 mV rms)</t>
  </si>
  <si>
    <t>ขั้น 2: Run EKF offline บน recorded HPPC CSV  —  เปรียบเทียบ x[SoC] กับ coulomb counting reference</t>
  </si>
  <si>
    <t>ขั้น 3: SoC กระโดดมาก -&gt; Q[0,0] เล็กลง 10x  —  SoC drift ไม่หาย -&gt; Q[0,0] ใหญ่ขึ้น 10x</t>
  </si>
  <si>
    <t>ขั้น 4: Innovation check: E[V_meas - V_pred] ~= 0  —  มี bias -&gt; โมเดล OCV ผิด (ต้องทำ P3 ก่อน)</t>
  </si>
  <si>
    <t>STARTING VALUES สำหรับ FB FTZ6V</t>
  </si>
  <si>
    <t>Parameter</t>
  </si>
  <si>
    <t>Suggested Start</t>
  </si>
  <si>
    <t>R</t>
  </si>
  <si>
    <t>1e-6</t>
  </si>
  <si>
    <t>1 mV voltage noise</t>
  </si>
  <si>
    <t>Q[0,0]</t>
  </si>
  <si>
    <t>1e-8</t>
  </si>
  <si>
    <t>SoC uncertainty ต่อ step</t>
  </si>
  <si>
    <t>Q[1,1]</t>
  </si>
  <si>
    <t>1e-5</t>
  </si>
  <si>
    <t>V_RC model uncertainty</t>
  </si>
  <si>
    <t>P0[0,0]</t>
  </si>
  <si>
    <t>25.0</t>
  </si>
  <si>
    <t>ไม่แน่ใจ SoC initial +-5%</t>
  </si>
  <si>
    <t>P0[1,1]</t>
  </si>
  <si>
    <t>0.01</t>
  </si>
  <si>
    <t>V_RC initial ~= +-0.1V</t>
  </si>
  <si>
    <t>Lead-Acid มี OCV slope ตลอด curve -&gt; EKF ทำงานได้ดี;  LFP plateau ตรงกลาง -&gt; slope ~= 0 -&gt; EKF อ่อน ต้องเสริมด้วย endpoint resets</t>
  </si>
</sst>
</file>

<file path=xl/styles.xml><?xml version="1.0" encoding="utf-8"?>
<styleSheet xmlns="http://schemas.openxmlformats.org/spreadsheetml/2006/main">
  <numFmts count="1">
    <numFmt numFmtId="164" formatCode="0%"/>
  </numFmts>
  <fonts count="39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11"/>
      <color rgb="FF555555"/>
      <name val="Arial"/>
      <family val="2"/>
    </font>
    <font>
      <b/>
      <sz val="12"/>
      <color rgb="FFFFFFFF"/>
      <name val="Arial"/>
      <family val="2"/>
    </font>
    <font>
      <b/>
      <sz val="10.5"/>
      <color rgb="FF333333"/>
      <name val="Arial"/>
      <family val="2"/>
    </font>
    <font>
      <sz val="10.5"/>
      <color rgb="FF000000"/>
      <name val="Arial"/>
      <family val="2"/>
    </font>
    <font>
      <sz val="10"/>
      <color rgb="FF000000"/>
      <name val="Consolas"/>
      <family val="2"/>
    </font>
    <font>
      <sz val="10.5"/>
      <color rgb="FF1565C0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Consolas"/>
      <family val="2"/>
    </font>
    <font>
      <sz val="10"/>
      <color rgb="FF333333"/>
      <name val="Arial"/>
      <family val="2"/>
    </font>
    <font>
      <sz val="10"/>
      <color rgb="FF555555"/>
      <name val="Arial"/>
      <family val="2"/>
    </font>
    <font>
      <sz val="10.5"/>
      <color rgb="FF333333"/>
      <name val="Arial"/>
      <family val="2"/>
    </font>
    <font>
      <sz val="10.5"/>
      <color rgb="FFC62828"/>
      <name val="Arial"/>
      <family val="2"/>
    </font>
    <font>
      <sz val="10"/>
      <color rgb="FFC62828"/>
      <name val="Consolas"/>
      <family val="2"/>
    </font>
    <font>
      <sz val="10"/>
      <color rgb="FF1565C0"/>
      <name val="Consolas"/>
      <family val="2"/>
    </font>
    <font>
      <b/>
      <sz val="10.5"/>
      <color rgb="FF2E7D32"/>
      <name val="Arial"/>
      <family val="2"/>
    </font>
    <font>
      <sz val="10"/>
      <color rgb="FF2E7D32"/>
      <name val="Consolas"/>
      <family val="2"/>
    </font>
    <font>
      <b/>
      <sz val="10.5"/>
      <color rgb="FFC62828"/>
      <name val="Arial"/>
      <family val="2"/>
    </font>
    <font>
      <b/>
      <sz val="10.5"/>
      <color rgb="FF1565C0"/>
      <name val="Arial"/>
      <family val="2"/>
    </font>
    <font>
      <b/>
      <sz val="10.5"/>
      <color rgb="FF6A1B9A"/>
      <name val="Arial"/>
      <family val="2"/>
    </font>
    <font>
      <sz val="10"/>
      <color rgb="FF6A1B9A"/>
      <name val="Consolas"/>
      <family val="2"/>
    </font>
    <font>
      <b/>
      <sz val="10.5"/>
      <color rgb="FFE65100"/>
      <name val="Arial"/>
      <family val="2"/>
    </font>
    <font>
      <sz val="10"/>
      <color rgb="FFE65100"/>
      <name val="Consolas"/>
      <family val="2"/>
    </font>
    <font>
      <sz val="10.5"/>
      <color rgb="FF2E7D32"/>
      <name val="Arial"/>
      <family val="2"/>
    </font>
    <font>
      <sz val="10.5"/>
      <color rgb="FFC98A00"/>
      <name val="Arial"/>
      <family val="2"/>
    </font>
    <font>
      <b/>
      <sz val="10.5"/>
      <color rgb="FFFFFFFF"/>
      <name val="Arial"/>
      <family val="2"/>
    </font>
    <font>
      <b/>
      <sz val="10.5"/>
      <color theme="1"/>
      <name val="Arial"/>
      <family val="2"/>
    </font>
    <font>
      <sz val="10.5"/>
      <color theme="1"/>
      <name val="Arial"/>
      <family val="2"/>
    </font>
    <font>
      <sz val="10.5"/>
      <color rgb="FF333333"/>
      <name val="Arial"/>
      <family val="2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  <font>
      <b/>
      <sz val="11"/>
      <color rgb="FF333333"/>
      <name val="Arial"/>
      <family val="2"/>
    </font>
    <font>
      <b/>
      <sz val="11"/>
      <color rgb="FF1B5E20"/>
      <name val="Arial"/>
      <family val="2"/>
    </font>
    <font>
      <b/>
      <sz val="14"/>
      <color rgb="FF1565C0"/>
      <name val="Arial"/>
      <family val="2"/>
    </font>
    <font>
      <sz val="10"/>
      <color theme="1"/>
      <name val="Arial"/>
      <family val="2"/>
    </font>
    <font>
      <b/>
      <sz val="10"/>
      <color rgb="FF37474F"/>
      <name val="Arial"/>
      <family val="2"/>
    </font>
    <font>
      <b/>
      <sz val="10"/>
      <color rgb="FF555555"/>
      <name val="Arial"/>
      <family val="2"/>
    </font>
    <font>
      <sz val="9.5"/>
      <color rgb="FF1A237E"/>
      <name val="Consolas"/>
      <family val="2"/>
    </font>
  </fonts>
  <fills count="19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1B5E2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top" indent="1" wrapText="1"/>
    </xf>
    <xf numFmtId="0" fontId="5" fillId="3" borderId="1" xfId="0" applyFont="1" applyFill="1" applyBorder="1" applyAlignment="1">
      <alignment horizontal="left" vertical="top" indent="1" wrapText="1"/>
    </xf>
    <xf numFmtId="0" fontId="4" fillId="4" borderId="1" xfId="0" applyFont="1" applyFill="1" applyBorder="1" applyAlignment="1">
      <alignment horizontal="left" vertical="top" indent="1" wrapText="1"/>
    </xf>
    <xf numFmtId="0" fontId="5" fillId="4" borderId="1" xfId="0" applyFont="1" applyFill="1" applyBorder="1" applyAlignment="1">
      <alignment horizontal="left" vertical="top" indent="1" wrapText="1"/>
    </xf>
    <xf numFmtId="0" fontId="4" fillId="5" borderId="1" xfId="0" applyFont="1" applyFill="1" applyBorder="1" applyAlignment="1">
      <alignment horizontal="left" vertical="top" indent="1" wrapText="1"/>
    </xf>
    <xf numFmtId="0" fontId="6" fillId="5" borderId="1" xfId="0" applyFont="1" applyFill="1" applyBorder="1" applyAlignment="1">
      <alignment horizontal="left" vertical="top" indent="1" wrapText="1"/>
    </xf>
    <xf numFmtId="0" fontId="4" fillId="6" borderId="1" xfId="0" applyFont="1" applyFill="1" applyBorder="1" applyAlignment="1">
      <alignment horizontal="left" vertical="top" indent="1" wrapText="1"/>
    </xf>
    <xf numFmtId="0" fontId="7" fillId="6" borderId="1" xfId="0" applyFont="1" applyFill="1" applyBorder="1" applyAlignment="1">
      <alignment horizontal="left" vertical="top" indent="1" wrapText="1"/>
    </xf>
    <xf numFmtId="0" fontId="8" fillId="2" borderId="1" xfId="0" applyFont="1" applyFill="1" applyBorder="1" applyAlignment="1">
      <alignment horizontal="left" vertical="center" indent="1"/>
    </xf>
    <xf numFmtId="0" fontId="9" fillId="4" borderId="1" xfId="0" applyFont="1" applyFill="1" applyBorder="1" applyAlignment="1">
      <alignment horizontal="left" vertical="top" indent="1" wrapText="1"/>
    </xf>
    <xf numFmtId="0" fontId="10" fillId="4" borderId="1" xfId="0" applyFont="1" applyFill="1" applyBorder="1" applyAlignment="1">
      <alignment horizontal="left" vertical="top" indent="1" wrapText="1"/>
    </xf>
    <xf numFmtId="0" fontId="11" fillId="4" borderId="1" xfId="0" applyFont="1" applyFill="1" applyBorder="1" applyAlignment="1">
      <alignment horizontal="left" vertical="top" indent="1" wrapText="1"/>
    </xf>
    <xf numFmtId="0" fontId="9" fillId="7" borderId="1" xfId="0" applyFont="1" applyFill="1" applyBorder="1" applyAlignment="1">
      <alignment horizontal="left" vertical="top" indent="1" wrapText="1"/>
    </xf>
    <xf numFmtId="0" fontId="10" fillId="7" borderId="1" xfId="0" applyFont="1" applyFill="1" applyBorder="1" applyAlignment="1">
      <alignment horizontal="left" vertical="top" indent="1" wrapText="1"/>
    </xf>
    <xf numFmtId="0" fontId="11" fillId="7" borderId="1" xfId="0" applyFont="1" applyFill="1" applyBorder="1" applyAlignment="1">
      <alignment horizontal="left" vertical="top" indent="1" wrapText="1"/>
    </xf>
    <xf numFmtId="0" fontId="3" fillId="8" borderId="0" xfId="0" applyFont="1" applyFill="1" applyAlignment="1">
      <alignment horizontal="left" vertical="center" indent="1"/>
    </xf>
    <xf numFmtId="0" fontId="12" fillId="9" borderId="1" xfId="0" applyFont="1" applyFill="1" applyBorder="1" applyAlignment="1">
      <alignment horizontal="left" vertical="top" indent="1" wrapText="1"/>
    </xf>
    <xf numFmtId="0" fontId="1" fillId="10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13" fillId="3" borderId="1" xfId="0" applyFont="1" applyFill="1" applyBorder="1" applyAlignment="1">
      <alignment horizontal="left" vertical="top" indent="1" wrapText="1"/>
    </xf>
    <xf numFmtId="0" fontId="14" fillId="5" borderId="1" xfId="0" applyFont="1" applyFill="1" applyBorder="1" applyAlignment="1">
      <alignment horizontal="left" vertical="top" indent="1" wrapText="1"/>
    </xf>
    <xf numFmtId="0" fontId="15" fillId="5" borderId="1" xfId="0" applyFont="1" applyFill="1" applyBorder="1" applyAlignment="1">
      <alignment horizontal="left" vertical="top" indent="1" wrapText="1"/>
    </xf>
    <xf numFmtId="0" fontId="5" fillId="6" borderId="1" xfId="0" applyFont="1" applyFill="1" applyBorder="1" applyAlignment="1">
      <alignment horizontal="left" vertical="top" indent="1" wrapText="1"/>
    </xf>
    <xf numFmtId="0" fontId="8" fillId="10" borderId="1" xfId="0" applyFont="1" applyFill="1" applyBorder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13" fillId="6" borderId="1" xfId="0" applyFont="1" applyFill="1" applyBorder="1" applyAlignment="1">
      <alignment horizontal="left" vertical="top" indent="1" wrapText="1"/>
    </xf>
    <xf numFmtId="0" fontId="16" fillId="4" borderId="1" xfId="0" applyFont="1" applyFill="1" applyBorder="1" applyAlignment="1">
      <alignment horizontal="left" vertical="top" indent="1" wrapText="1"/>
    </xf>
    <xf numFmtId="0" fontId="17" fillId="5" borderId="1" xfId="0" applyFont="1" applyFill="1" applyBorder="1" applyAlignment="1">
      <alignment horizontal="left" vertical="top" indent="1" wrapText="1"/>
    </xf>
    <xf numFmtId="0" fontId="18" fillId="4" borderId="1" xfId="0" applyFont="1" applyFill="1" applyBorder="1" applyAlignment="1">
      <alignment horizontal="left" vertical="top" indent="1" wrapText="1"/>
    </xf>
    <xf numFmtId="0" fontId="19" fillId="4" borderId="1" xfId="0" applyFont="1" applyFill="1" applyBorder="1" applyAlignment="1">
      <alignment horizontal="left" vertical="top" indent="1" wrapText="1"/>
    </xf>
    <xf numFmtId="0" fontId="20" fillId="4" borderId="1" xfId="0" applyFont="1" applyFill="1" applyBorder="1" applyAlignment="1">
      <alignment horizontal="left" vertical="top" indent="1" wrapText="1"/>
    </xf>
    <xf numFmtId="0" fontId="21" fillId="5" borderId="1" xfId="0" applyFont="1" applyFill="1" applyBorder="1" applyAlignment="1">
      <alignment horizontal="left" vertical="top" indent="1" wrapText="1"/>
    </xf>
    <xf numFmtId="0" fontId="8" fillId="11" borderId="1" xfId="0" applyFont="1" applyFill="1" applyBorder="1" applyAlignment="1">
      <alignment horizontal="left" vertical="center" indent="1"/>
    </xf>
    <xf numFmtId="0" fontId="22" fillId="4" borderId="1" xfId="0" applyFont="1" applyFill="1" applyBorder="1" applyAlignment="1">
      <alignment horizontal="left" vertical="top" indent="1" wrapText="1"/>
    </xf>
    <xf numFmtId="0" fontId="23" fillId="5" borderId="1" xfId="0" applyFont="1" applyFill="1" applyBorder="1" applyAlignment="1">
      <alignment horizontal="left" vertical="top" indent="1" wrapText="1"/>
    </xf>
    <xf numFmtId="0" fontId="1" fillId="8" borderId="0" xfId="0" applyFont="1" applyFill="1" applyAlignment="1">
      <alignment horizontal="left" vertical="center" indent="1"/>
    </xf>
    <xf numFmtId="0" fontId="24" fillId="6" borderId="1" xfId="0" applyFont="1" applyFill="1" applyBorder="1" applyAlignment="1">
      <alignment horizontal="left" vertical="top" indent="1" wrapText="1"/>
    </xf>
    <xf numFmtId="0" fontId="25" fillId="6" borderId="1" xfId="0" applyFont="1" applyFill="1" applyBorder="1" applyAlignment="1">
      <alignment horizontal="left" vertical="top" indent="1" wrapText="1"/>
    </xf>
    <xf numFmtId="0" fontId="12" fillId="4" borderId="1" xfId="0" applyFont="1" applyFill="1" applyBorder="1" applyAlignment="1">
      <alignment horizontal="left" vertical="top" indent="1" wrapText="1"/>
    </xf>
    <xf numFmtId="0" fontId="1" fillId="12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8" fillId="12" borderId="1" xfId="0" applyFont="1" applyFill="1" applyBorder="1" applyAlignment="1">
      <alignment horizontal="left" vertical="center" indent="1"/>
    </xf>
    <xf numFmtId="0" fontId="26" fillId="11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left" vertical="center" indent="1" wrapText="1"/>
    </xf>
    <xf numFmtId="0" fontId="28" fillId="4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left" vertical="center" indent="1" wrapText="1"/>
    </xf>
    <xf numFmtId="0" fontId="28" fillId="6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left" vertical="top" indent="1" wrapText="1"/>
    </xf>
    <xf numFmtId="0" fontId="29" fillId="4" borderId="1" xfId="0" applyFont="1" applyFill="1" applyBorder="1" applyAlignment="1">
      <alignment horizontal="left" vertical="top" indent="1" wrapText="1"/>
    </xf>
    <xf numFmtId="0" fontId="30" fillId="8" borderId="1" xfId="0" applyFont="1" applyFill="1" applyBorder="1" applyAlignment="1">
      <alignment horizontal="left" vertical="center" indent="1"/>
    </xf>
    <xf numFmtId="0" fontId="18" fillId="3" borderId="1" xfId="0" applyFont="1" applyFill="1" applyBorder="1" applyAlignment="1">
      <alignment horizontal="left" vertical="top" indent="1" wrapText="1"/>
    </xf>
    <xf numFmtId="0" fontId="12" fillId="3" borderId="1" xfId="0" applyFont="1" applyFill="1" applyBorder="1" applyAlignment="1">
      <alignment horizontal="left" vertical="top" indent="1" wrapText="1"/>
    </xf>
    <xf numFmtId="0" fontId="29" fillId="6" borderId="1" xfId="0" applyFont="1" applyFill="1" applyBorder="1" applyAlignment="1">
      <alignment horizontal="left" vertical="center" indent="1" wrapText="1"/>
    </xf>
    <xf numFmtId="0" fontId="31" fillId="13" borderId="0" xfId="0" applyFont="1" applyFill="1" applyAlignment="1">
      <alignment horizontal="left" vertical="center" indent="1"/>
    </xf>
    <xf numFmtId="0" fontId="32" fillId="7" borderId="1" xfId="0" applyFont="1" applyFill="1" applyBorder="1" applyAlignment="1">
      <alignment horizontal="left" vertical="center" indent="1"/>
    </xf>
    <xf numFmtId="0" fontId="33" fillId="0" borderId="1" xfId="0" applyFont="1" applyBorder="1" applyAlignment="1">
      <alignment horizontal="left" vertical="center" indent="1"/>
    </xf>
    <xf numFmtId="164" fontId="34" fillId="0" borderId="1" xfId="0" applyNumberFormat="1" applyFont="1" applyBorder="1" applyAlignment="1">
      <alignment horizontal="left" vertical="center" indent="1"/>
    </xf>
    <xf numFmtId="0" fontId="8" fillId="13" borderId="1" xfId="0" applyFont="1" applyFill="1" applyBorder="1" applyAlignment="1">
      <alignment horizontal="left" vertical="center" indent="1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left" vertical="top" indent="1" wrapText="1"/>
    </xf>
    <xf numFmtId="0" fontId="35" fillId="14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left" vertical="top" indent="1" wrapText="1"/>
    </xf>
    <xf numFmtId="0" fontId="31" fillId="2" borderId="0" xfId="0" applyFont="1" applyFill="1" applyAlignment="1">
      <alignment horizontal="left" vertical="center" indent="1"/>
    </xf>
    <xf numFmtId="0" fontId="37" fillId="7" borderId="1" xfId="0" applyFont="1" applyFill="1" applyBorder="1" applyAlignment="1">
      <alignment horizontal="right" vertical="center"/>
    </xf>
    <xf numFmtId="0" fontId="12" fillId="15" borderId="1" xfId="0" applyFont="1" applyFill="1" applyBorder="1" applyAlignment="1">
      <alignment horizontal="left" vertical="top" indent="1" wrapText="1"/>
    </xf>
    <xf numFmtId="0" fontId="8" fillId="2" borderId="1" xfId="0" applyFont="1" applyFill="1" applyBorder="1" applyAlignment="1">
      <alignment horizontal="left" vertical="center" indent="1" wrapText="1"/>
    </xf>
    <xf numFmtId="0" fontId="31" fillId="11" borderId="0" xfId="0" applyFont="1" applyFill="1" applyAlignment="1">
      <alignment horizontal="left" vertical="center" indent="1"/>
    </xf>
    <xf numFmtId="0" fontId="8" fillId="11" borderId="1" xfId="0" applyFont="1" applyFill="1" applyBorder="1" applyAlignment="1">
      <alignment horizontal="left" vertical="center" indent="1" wrapText="1"/>
    </xf>
    <xf numFmtId="0" fontId="10" fillId="4" borderId="1" xfId="0" applyFont="1" applyFill="1" applyBorder="1" applyAlignment="1">
      <alignment horizontal="center" vertical="top" indent="1" wrapText="1"/>
    </xf>
    <xf numFmtId="0" fontId="10" fillId="7" borderId="1" xfId="0" applyFont="1" applyFill="1" applyBorder="1" applyAlignment="1">
      <alignment horizontal="center" vertical="top" indent="1" wrapText="1"/>
    </xf>
    <xf numFmtId="0" fontId="31" fillId="10" borderId="0" xfId="0" applyFont="1" applyFill="1" applyAlignment="1">
      <alignment horizontal="left" vertical="center" indent="1"/>
    </xf>
    <xf numFmtId="0" fontId="8" fillId="10" borderId="1" xfId="0" applyFont="1" applyFill="1" applyBorder="1" applyAlignment="1">
      <alignment horizontal="left" vertical="center" indent="1" wrapText="1"/>
    </xf>
    <xf numFmtId="0" fontId="31" fillId="12" borderId="0" xfId="0" applyFont="1" applyFill="1" applyAlignment="1">
      <alignment horizontal="left" vertical="center" indent="1"/>
    </xf>
    <xf numFmtId="0" fontId="8" fillId="12" borderId="1" xfId="0" applyFont="1" applyFill="1" applyBorder="1" applyAlignment="1">
      <alignment horizontal="left" vertical="center" indent="1" wrapText="1"/>
    </xf>
    <xf numFmtId="0" fontId="12" fillId="6" borderId="1" xfId="0" applyFont="1" applyFill="1" applyBorder="1" applyAlignment="1">
      <alignment horizontal="left" vertical="top" indent="1" wrapText="1"/>
    </xf>
    <xf numFmtId="0" fontId="31" fillId="8" borderId="0" xfId="0" applyFont="1" applyFill="1" applyAlignment="1">
      <alignment horizontal="left" vertical="center" indent="1"/>
    </xf>
    <xf numFmtId="0" fontId="8" fillId="8" borderId="1" xfId="0" applyFont="1" applyFill="1" applyBorder="1" applyAlignment="1">
      <alignment horizontal="left" vertical="center" indent="1" wrapText="1"/>
    </xf>
    <xf numFmtId="0" fontId="8" fillId="13" borderId="1" xfId="0" applyFont="1" applyFill="1" applyBorder="1" applyAlignment="1">
      <alignment horizontal="left" vertical="center" indent="1" wrapText="1"/>
    </xf>
    <xf numFmtId="0" fontId="31" fillId="16" borderId="0" xfId="0" applyFont="1" applyFill="1" applyAlignment="1">
      <alignment horizontal="left" vertical="center" indent="1"/>
    </xf>
    <xf numFmtId="0" fontId="3" fillId="16" borderId="0" xfId="0" applyFont="1" applyFill="1" applyAlignment="1">
      <alignment horizontal="left" vertical="center" indent="1"/>
    </xf>
    <xf numFmtId="0" fontId="12" fillId="5" borderId="1" xfId="0" applyFont="1" applyFill="1" applyBorder="1" applyAlignment="1">
      <alignment horizontal="left" vertical="top" indent="1" wrapText="1"/>
    </xf>
    <xf numFmtId="0" fontId="8" fillId="16" borderId="1" xfId="0" applyFont="1" applyFill="1" applyBorder="1" applyAlignment="1">
      <alignment horizontal="left" vertical="center" indent="1" wrapText="1"/>
    </xf>
    <xf numFmtId="0" fontId="38" fillId="5" borderId="1" xfId="0" applyFont="1" applyFill="1" applyBorder="1" applyAlignment="1">
      <alignment horizontal="left" vertical="top" indent="1" wrapText="1"/>
    </xf>
    <xf numFmtId="0" fontId="31" fillId="17" borderId="0" xfId="0" applyFont="1" applyFill="1" applyAlignment="1">
      <alignment horizontal="left" vertical="center" indent="1"/>
    </xf>
    <xf numFmtId="0" fontId="3" fillId="17" borderId="0" xfId="0" applyFont="1" applyFill="1" applyAlignment="1">
      <alignment horizontal="left" vertical="center" indent="1"/>
    </xf>
    <xf numFmtId="0" fontId="8" fillId="17" borderId="1" xfId="0" applyFont="1" applyFill="1" applyBorder="1" applyAlignment="1">
      <alignment horizontal="left" vertical="center" indent="1" wrapText="1"/>
    </xf>
    <xf numFmtId="0" fontId="31" fillId="18" borderId="0" xfId="0" applyFont="1" applyFill="1" applyAlignment="1">
      <alignment horizontal="left" vertical="center" indent="1"/>
    </xf>
    <xf numFmtId="0" fontId="3" fillId="18" borderId="0" xfId="0" applyFont="1" applyFill="1" applyAlignment="1">
      <alignment horizontal="left" vertical="center" indent="1"/>
    </xf>
    <xf numFmtId="0" fontId="8" fillId="18" borderId="1" xfId="0" applyFont="1" applyFill="1" applyBorder="1" applyAlignment="1">
      <alignment horizontal="left" vertical="center" indent="1" wrapText="1"/>
    </xf>
  </cellXfs>
  <cellStyles count="1">
    <cellStyle name="Normal" xfId="0" builtinId="0"/>
  </cellStyles>
  <dxfs count="4">
    <dxf>
      <font>
        <b/>
        <color rgb="FF1B5E20"/>
      </font>
      <fill>
        <patternFill>
          <bgColor rgb="FFC8E6C9"/>
        </patternFill>
      </fill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/>
        <color rgb="FF7A5C00"/>
      </font>
      <fill>
        <patternFill>
          <bgColor rgb="FFFFF9C4"/>
        </patternFill>
      </fill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/>
        <color rgb="FF555555"/>
      </font>
      <fill>
        <patternFill>
          <bgColor rgb="FFCFD8DC"/>
        </patternFill>
      </fill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/>
        <color rgb="FFB71C1C"/>
      </font>
      <fill>
        <patternFill>
          <bgColor rgb="FFFFCDD2"/>
        </patternFill>
      </fill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D34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60.7109375" customWidth="1"/>
    <col min="4" max="4" width="52.7109375" customWidth="1"/>
    <col min="5" max="5" width="3.7109375" customWidth="1"/>
  </cols>
  <sheetData>
    <row r="2" spans="2:4" ht="36" customHeight="1">
      <c r="B2" s="1" t="s">
        <v>0</v>
      </c>
      <c r="C2" s="1"/>
      <c r="D2" s="1"/>
    </row>
    <row r="3" spans="2:4" ht="20" customHeight="1">
      <c r="B3" s="2" t="s">
        <v>1</v>
      </c>
      <c r="C3" s="2"/>
      <c r="D3" s="2"/>
    </row>
    <row r="5" spans="2:4" ht="26" customHeight="1">
      <c r="B5" s="3" t="s">
        <v>2</v>
      </c>
      <c r="C5" s="3"/>
      <c r="D5" s="3"/>
    </row>
    <row r="6" spans="2:4">
      <c r="B6" s="4" t="s">
        <v>3</v>
      </c>
      <c r="C6" s="5" t="s">
        <v>4</v>
      </c>
      <c r="D6" s="5"/>
    </row>
    <row r="7" spans="2:4">
      <c r="B7" s="4" t="s">
        <v>5</v>
      </c>
      <c r="C7" s="5" t="s">
        <v>6</v>
      </c>
      <c r="D7" s="5"/>
    </row>
    <row r="8" spans="2:4">
      <c r="B8" s="4" t="s">
        <v>7</v>
      </c>
      <c r="C8" s="5" t="s">
        <v>8</v>
      </c>
      <c r="D8" s="5"/>
    </row>
    <row r="9" spans="2:4" ht="8" customHeight="1"/>
    <row r="10" spans="2:4" ht="26" customHeight="1">
      <c r="B10" s="3" t="s">
        <v>9</v>
      </c>
      <c r="C10" s="3"/>
      <c r="D10" s="3"/>
    </row>
    <row r="11" spans="2:4">
      <c r="B11" s="6" t="s">
        <v>10</v>
      </c>
      <c r="C11" s="7" t="s">
        <v>11</v>
      </c>
      <c r="D11" s="7"/>
    </row>
    <row r="12" spans="2:4">
      <c r="B12" s="8" t="s">
        <v>12</v>
      </c>
      <c r="C12" s="9" t="s">
        <v>13</v>
      </c>
      <c r="D12" s="9"/>
    </row>
    <row r="13" spans="2:4">
      <c r="B13" s="6" t="s">
        <v>14</v>
      </c>
      <c r="C13" s="7" t="s">
        <v>15</v>
      </c>
      <c r="D13" s="7"/>
    </row>
    <row r="14" spans="2:4">
      <c r="B14" s="6" t="s">
        <v>16</v>
      </c>
      <c r="C14" s="7" t="s">
        <v>17</v>
      </c>
      <c r="D14" s="7"/>
    </row>
    <row r="15" spans="2:4" ht="8" customHeight="1"/>
    <row r="16" spans="2:4" ht="26" customHeight="1">
      <c r="B16" s="3" t="s">
        <v>18</v>
      </c>
      <c r="C16" s="3"/>
      <c r="D16" s="3"/>
    </row>
    <row r="17" spans="2:4">
      <c r="B17" s="8" t="s">
        <v>19</v>
      </c>
      <c r="C17" s="9" t="s">
        <v>20</v>
      </c>
      <c r="D17" s="9"/>
    </row>
    <row r="18" spans="2:4">
      <c r="B18" s="8" t="s">
        <v>21</v>
      </c>
      <c r="C18" s="9" t="s">
        <v>22</v>
      </c>
      <c r="D18" s="9"/>
    </row>
    <row r="19" spans="2:4" ht="8" customHeight="1"/>
    <row r="20" spans="2:4" ht="26" customHeight="1">
      <c r="B20" s="3" t="s">
        <v>23</v>
      </c>
      <c r="C20" s="3"/>
      <c r="D20" s="3"/>
    </row>
    <row r="21" spans="2:4">
      <c r="B21" s="10" t="s">
        <v>24</v>
      </c>
      <c r="C21" s="11" t="s">
        <v>25</v>
      </c>
      <c r="D21" s="11"/>
    </row>
    <row r="22" spans="2:4">
      <c r="B22" s="10" t="s">
        <v>26</v>
      </c>
      <c r="C22" s="11" t="s">
        <v>27</v>
      </c>
      <c r="D22" s="11"/>
    </row>
    <row r="23" spans="2:4" ht="8" customHeight="1"/>
    <row r="24" spans="2:4" ht="26" customHeight="1">
      <c r="B24" s="3" t="s">
        <v>28</v>
      </c>
      <c r="C24" s="3"/>
      <c r="D24" s="3"/>
    </row>
    <row r="25" spans="2:4" ht="22" customHeight="1">
      <c r="B25" s="12" t="s">
        <v>29</v>
      </c>
      <c r="C25" s="12" t="s">
        <v>30</v>
      </c>
      <c r="D25" s="12" t="s">
        <v>31</v>
      </c>
    </row>
    <row r="26" spans="2:4" ht="30" customHeight="1">
      <c r="B26" s="13" t="s">
        <v>32</v>
      </c>
      <c r="C26" s="14" t="s">
        <v>33</v>
      </c>
      <c r="D26" s="15" t="s">
        <v>34</v>
      </c>
    </row>
    <row r="27" spans="2:4" ht="30" customHeight="1">
      <c r="B27" s="16" t="s">
        <v>35</v>
      </c>
      <c r="C27" s="17" t="s">
        <v>36</v>
      </c>
      <c r="D27" s="18" t="s">
        <v>37</v>
      </c>
    </row>
    <row r="28" spans="2:4" ht="30" customHeight="1">
      <c r="B28" s="13" t="s">
        <v>38</v>
      </c>
      <c r="C28" s="14" t="s">
        <v>39</v>
      </c>
      <c r="D28" s="15">
        <f> i_net (ดูหน้า Current)</f>
        <v>0</v>
      </c>
    </row>
    <row r="29" spans="2:4" ht="30" customHeight="1">
      <c r="B29" s="16" t="s">
        <v>40</v>
      </c>
      <c r="C29" s="17" t="s">
        <v>41</v>
      </c>
      <c r="D29" s="18" t="s">
        <v>42</v>
      </c>
    </row>
    <row r="30" spans="2:4" ht="8" customHeight="1"/>
    <row r="31" spans="2:4" ht="26" customHeight="1">
      <c r="B31" s="19" t="s">
        <v>43</v>
      </c>
      <c r="C31" s="19"/>
      <c r="D31" s="19"/>
    </row>
    <row r="32" spans="2:4" ht="30" customHeight="1">
      <c r="B32" s="20" t="s">
        <v>44</v>
      </c>
      <c r="C32" s="20"/>
      <c r="D32" s="20"/>
    </row>
    <row r="33" spans="2:4" ht="30" customHeight="1">
      <c r="B33" s="20" t="s">
        <v>45</v>
      </c>
      <c r="C33" s="20"/>
      <c r="D33" s="20"/>
    </row>
    <row r="34" spans="2:4" ht="30" customHeight="1">
      <c r="B34" s="20" t="s">
        <v>46</v>
      </c>
      <c r="C34" s="20"/>
      <c r="D34" s="20"/>
    </row>
  </sheetData>
  <mergeCells count="22">
    <mergeCell ref="B2:D2"/>
    <mergeCell ref="B3:D3"/>
    <mergeCell ref="B5:D5"/>
    <mergeCell ref="C6:D6"/>
    <mergeCell ref="C7:D7"/>
    <mergeCell ref="C8:D8"/>
    <mergeCell ref="B10:D10"/>
    <mergeCell ref="C11:D11"/>
    <mergeCell ref="C12:D12"/>
    <mergeCell ref="C13:D13"/>
    <mergeCell ref="C14:D14"/>
    <mergeCell ref="B16:D16"/>
    <mergeCell ref="C17:D17"/>
    <mergeCell ref="C18:D18"/>
    <mergeCell ref="B20:D20"/>
    <mergeCell ref="C21:D21"/>
    <mergeCell ref="C22:D22"/>
    <mergeCell ref="B24:D24"/>
    <mergeCell ref="B31:D31"/>
    <mergeCell ref="B32:D32"/>
    <mergeCell ref="B33:D33"/>
    <mergeCell ref="B34:D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D37"/>
  <sheetViews>
    <sheetView showGridLines="0" workbookViewId="0"/>
  </sheetViews>
  <sheetFormatPr defaultRowHeight="15"/>
  <cols>
    <col min="1" max="1" width="3.7109375" customWidth="1"/>
    <col min="2" max="2" width="26.7109375" customWidth="1"/>
    <col min="3" max="3" width="60.7109375" customWidth="1"/>
    <col min="4" max="4" width="52.7109375" customWidth="1"/>
    <col min="5" max="5" width="3.7109375" customWidth="1"/>
  </cols>
  <sheetData>
    <row r="2" spans="2:4" ht="36" customHeight="1">
      <c r="B2" s="21" t="s">
        <v>47</v>
      </c>
      <c r="C2" s="21"/>
      <c r="D2" s="21"/>
    </row>
    <row r="3" spans="2:4" ht="20" customHeight="1">
      <c r="B3" s="2" t="s">
        <v>48</v>
      </c>
      <c r="C3" s="2"/>
      <c r="D3" s="2"/>
    </row>
    <row r="5" spans="2:4" ht="26" customHeight="1">
      <c r="B5" s="22" t="s">
        <v>2</v>
      </c>
      <c r="C5" s="22"/>
      <c r="D5" s="22"/>
    </row>
    <row r="6" spans="2:4">
      <c r="B6" s="4" t="s">
        <v>3</v>
      </c>
      <c r="C6" s="5" t="s">
        <v>49</v>
      </c>
      <c r="D6" s="5"/>
    </row>
    <row r="7" spans="2:4">
      <c r="B7" s="4" t="s">
        <v>50</v>
      </c>
      <c r="C7" s="5" t="s">
        <v>51</v>
      </c>
      <c r="D7" s="5"/>
    </row>
    <row r="8" spans="2:4">
      <c r="B8" s="4" t="s">
        <v>52</v>
      </c>
      <c r="C8" s="23" t="s">
        <v>53</v>
      </c>
      <c r="D8" s="23"/>
    </row>
    <row r="9" spans="2:4" ht="8" customHeight="1"/>
    <row r="10" spans="2:4" ht="26" customHeight="1">
      <c r="B10" s="22" t="s">
        <v>54</v>
      </c>
      <c r="C10" s="22"/>
      <c r="D10" s="22"/>
    </row>
    <row r="11" spans="2:4">
      <c r="B11" s="8" t="s">
        <v>55</v>
      </c>
      <c r="C11" s="9" t="s">
        <v>56</v>
      </c>
      <c r="D11" s="9"/>
    </row>
    <row r="12" spans="2:4">
      <c r="B12" s="6" t="s">
        <v>57</v>
      </c>
      <c r="C12" s="6"/>
      <c r="D12" s="6"/>
    </row>
    <row r="13" spans="2:4">
      <c r="B13" s="8" t="s">
        <v>58</v>
      </c>
      <c r="C13" s="24" t="s">
        <v>59</v>
      </c>
      <c r="D13" s="24"/>
    </row>
    <row r="14" spans="2:4">
      <c r="B14" s="8" t="s">
        <v>60</v>
      </c>
      <c r="C14" s="25" t="s">
        <v>61</v>
      </c>
      <c r="D14" s="25"/>
    </row>
    <row r="15" spans="2:4">
      <c r="B15" s="8" t="s">
        <v>62</v>
      </c>
      <c r="C15" s="9" t="s">
        <v>63</v>
      </c>
      <c r="D15" s="9"/>
    </row>
    <row r="16" spans="2:4" ht="8" customHeight="1"/>
    <row r="17" spans="2:4" ht="26" customHeight="1">
      <c r="B17" s="22" t="s">
        <v>18</v>
      </c>
      <c r="C17" s="22"/>
      <c r="D17" s="22"/>
    </row>
    <row r="18" spans="2:4">
      <c r="B18" s="8" t="s">
        <v>64</v>
      </c>
      <c r="C18" s="9" t="s">
        <v>65</v>
      </c>
      <c r="D18" s="9"/>
    </row>
    <row r="19" spans="2:4">
      <c r="B19" s="8" t="s">
        <v>66</v>
      </c>
      <c r="C19" s="9" t="s">
        <v>67</v>
      </c>
      <c r="D19" s="9"/>
    </row>
    <row r="20" spans="2:4" ht="8" customHeight="1"/>
    <row r="21" spans="2:4" ht="26" customHeight="1">
      <c r="B21" s="22" t="s">
        <v>23</v>
      </c>
      <c r="C21" s="22"/>
      <c r="D21" s="22"/>
    </row>
    <row r="22" spans="2:4">
      <c r="B22" s="10" t="s">
        <v>68</v>
      </c>
      <c r="C22" s="26" t="s">
        <v>69</v>
      </c>
      <c r="D22" s="26"/>
    </row>
    <row r="23" spans="2:4">
      <c r="B23" s="10" t="s">
        <v>70</v>
      </c>
      <c r="C23" s="26" t="s">
        <v>71</v>
      </c>
      <c r="D23" s="26"/>
    </row>
    <row r="24" spans="2:4">
      <c r="B24" s="10" t="s">
        <v>72</v>
      </c>
      <c r="C24" s="26" t="s">
        <v>73</v>
      </c>
      <c r="D24" s="26"/>
    </row>
    <row r="25" spans="2:4" ht="8" customHeight="1"/>
    <row r="26" spans="2:4" ht="26" customHeight="1">
      <c r="B26" s="22" t="s">
        <v>28</v>
      </c>
      <c r="C26" s="22"/>
      <c r="D26" s="22"/>
    </row>
    <row r="27" spans="2:4" ht="22" customHeight="1">
      <c r="B27" s="27" t="s">
        <v>29</v>
      </c>
      <c r="C27" s="27" t="s">
        <v>30</v>
      </c>
      <c r="D27" s="27" t="s">
        <v>31</v>
      </c>
    </row>
    <row r="28" spans="2:4" ht="30" customHeight="1">
      <c r="B28" s="13" t="s">
        <v>74</v>
      </c>
      <c r="C28" s="14" t="s">
        <v>75</v>
      </c>
      <c r="D28" s="15" t="s">
        <v>76</v>
      </c>
    </row>
    <row r="29" spans="2:4" ht="30" customHeight="1">
      <c r="B29" s="16" t="s">
        <v>77</v>
      </c>
      <c r="C29" s="17" t="s">
        <v>78</v>
      </c>
      <c r="D29" s="18" t="s">
        <v>79</v>
      </c>
    </row>
    <row r="30" spans="2:4" ht="30" customHeight="1">
      <c r="B30" s="13" t="s">
        <v>80</v>
      </c>
      <c r="C30" s="14" t="s">
        <v>81</v>
      </c>
      <c r="D30" s="15" t="s">
        <v>82</v>
      </c>
    </row>
    <row r="31" spans="2:4" ht="30" customHeight="1">
      <c r="B31" s="16" t="s">
        <v>83</v>
      </c>
      <c r="C31" s="17" t="s">
        <v>84</v>
      </c>
      <c r="D31" s="18" t="s">
        <v>85</v>
      </c>
    </row>
    <row r="32" spans="2:4" ht="30" customHeight="1">
      <c r="B32" s="13" t="s">
        <v>86</v>
      </c>
      <c r="C32" s="14" t="s">
        <v>87</v>
      </c>
      <c r="D32" s="15" t="s">
        <v>88</v>
      </c>
    </row>
    <row r="33" spans="2:4" ht="30" customHeight="1">
      <c r="B33" s="16" t="s">
        <v>89</v>
      </c>
      <c r="C33" s="17" t="s">
        <v>90</v>
      </c>
      <c r="D33" s="18" t="s">
        <v>91</v>
      </c>
    </row>
    <row r="34" spans="2:4" ht="8" customHeight="1"/>
    <row r="35" spans="2:4" ht="26" customHeight="1">
      <c r="B35" s="19" t="s">
        <v>43</v>
      </c>
      <c r="C35" s="19"/>
      <c r="D35" s="19"/>
    </row>
    <row r="36" spans="2:4" ht="30" customHeight="1">
      <c r="B36" s="20" t="s">
        <v>92</v>
      </c>
      <c r="C36" s="20"/>
      <c r="D36" s="20"/>
    </row>
    <row r="37" spans="2:4" ht="44" customHeight="1">
      <c r="B37" s="20" t="s">
        <v>93</v>
      </c>
      <c r="C37" s="20"/>
      <c r="D37" s="20"/>
    </row>
  </sheetData>
  <mergeCells count="23">
    <mergeCell ref="B2:D2"/>
    <mergeCell ref="B3:D3"/>
    <mergeCell ref="B5:D5"/>
    <mergeCell ref="C6:D6"/>
    <mergeCell ref="C7:D7"/>
    <mergeCell ref="C8:D8"/>
    <mergeCell ref="B10:D10"/>
    <mergeCell ref="C11:D11"/>
    <mergeCell ref="B12:D12"/>
    <mergeCell ref="C13:D13"/>
    <mergeCell ref="C14:D14"/>
    <mergeCell ref="C15:D15"/>
    <mergeCell ref="B17:D17"/>
    <mergeCell ref="C18:D18"/>
    <mergeCell ref="C19:D19"/>
    <mergeCell ref="B21:D21"/>
    <mergeCell ref="C22:D22"/>
    <mergeCell ref="C23:D23"/>
    <mergeCell ref="C24:D24"/>
    <mergeCell ref="B26:D26"/>
    <mergeCell ref="B35:D35"/>
    <mergeCell ref="B36:D36"/>
    <mergeCell ref="B37:D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D56"/>
  <sheetViews>
    <sheetView showGridLines="0" workbookViewId="0"/>
  </sheetViews>
  <sheetFormatPr defaultRowHeight="15"/>
  <cols>
    <col min="1" max="1" width="3.7109375" customWidth="1"/>
    <col min="2" max="2" width="26.7109375" customWidth="1"/>
    <col min="3" max="3" width="60.7109375" customWidth="1"/>
    <col min="4" max="4" width="52.7109375" customWidth="1"/>
    <col min="5" max="5" width="3.7109375" customWidth="1"/>
  </cols>
  <sheetData>
    <row r="2" spans="2:4" ht="36" customHeight="1">
      <c r="B2" s="28" t="s">
        <v>94</v>
      </c>
      <c r="C2" s="28"/>
      <c r="D2" s="28"/>
    </row>
    <row r="3" spans="2:4" ht="20" customHeight="1">
      <c r="B3" s="2" t="s">
        <v>95</v>
      </c>
      <c r="C3" s="2"/>
      <c r="D3" s="2"/>
    </row>
    <row r="5" spans="2:4" ht="26" customHeight="1">
      <c r="B5" s="29" t="s">
        <v>2</v>
      </c>
      <c r="C5" s="29"/>
      <c r="D5" s="29"/>
    </row>
    <row r="6" spans="2:4">
      <c r="B6" s="10" t="s">
        <v>3</v>
      </c>
      <c r="C6" s="26" t="s">
        <v>96</v>
      </c>
      <c r="D6" s="26"/>
    </row>
    <row r="7" spans="2:4">
      <c r="B7" s="10" t="s">
        <v>5</v>
      </c>
      <c r="C7" s="26" t="s">
        <v>97</v>
      </c>
      <c r="D7" s="26"/>
    </row>
    <row r="8" spans="2:4">
      <c r="B8" s="10" t="s">
        <v>98</v>
      </c>
      <c r="C8" s="30" t="s">
        <v>99</v>
      </c>
      <c r="D8" s="30"/>
    </row>
    <row r="9" spans="2:4" ht="8" customHeight="1"/>
    <row r="10" spans="2:4" ht="26" customHeight="1">
      <c r="B10" s="29" t="s">
        <v>100</v>
      </c>
      <c r="C10" s="29"/>
      <c r="D10" s="29"/>
    </row>
    <row r="11" spans="2:4">
      <c r="B11" s="31" t="s">
        <v>101</v>
      </c>
      <c r="C11" s="31"/>
      <c r="D11" s="31"/>
    </row>
    <row r="12" spans="2:4">
      <c r="B12" s="8" t="s">
        <v>102</v>
      </c>
      <c r="C12" s="9" t="s">
        <v>103</v>
      </c>
      <c r="D12" s="9"/>
    </row>
    <row r="13" spans="2:4">
      <c r="B13" s="8" t="s">
        <v>104</v>
      </c>
      <c r="C13" s="9" t="s">
        <v>105</v>
      </c>
      <c r="D13" s="9"/>
    </row>
    <row r="14" spans="2:4">
      <c r="B14" s="8" t="s">
        <v>106</v>
      </c>
      <c r="C14" s="9" t="s">
        <v>107</v>
      </c>
      <c r="D14" s="9"/>
    </row>
    <row r="15" spans="2:4">
      <c r="B15" s="8" t="s">
        <v>108</v>
      </c>
      <c r="C15" s="32" t="s">
        <v>109</v>
      </c>
      <c r="D15" s="32"/>
    </row>
    <row r="16" spans="2:4" ht="8" customHeight="1"/>
    <row r="17" spans="2:4">
      <c r="B17" s="33" t="s">
        <v>110</v>
      </c>
      <c r="C17" s="33"/>
      <c r="D17" s="33"/>
    </row>
    <row r="18" spans="2:4">
      <c r="B18" s="8" t="s">
        <v>111</v>
      </c>
      <c r="C18" s="9" t="s">
        <v>112</v>
      </c>
      <c r="D18" s="9"/>
    </row>
    <row r="19" spans="2:4">
      <c r="B19" s="8" t="s">
        <v>113</v>
      </c>
      <c r="C19" s="9" t="s">
        <v>114</v>
      </c>
      <c r="D19" s="9"/>
    </row>
    <row r="20" spans="2:4" ht="8" customHeight="1"/>
    <row r="21" spans="2:4">
      <c r="B21" s="34" t="s">
        <v>115</v>
      </c>
      <c r="C21" s="34"/>
      <c r="D21" s="34"/>
    </row>
    <row r="22" spans="2:4">
      <c r="B22" s="8" t="s">
        <v>116</v>
      </c>
      <c r="C22" s="9" t="s">
        <v>117</v>
      </c>
      <c r="D22" s="9"/>
    </row>
    <row r="23" spans="2:4">
      <c r="B23" s="8" t="s">
        <v>118</v>
      </c>
      <c r="C23" s="9" t="s">
        <v>119</v>
      </c>
      <c r="D23" s="9"/>
    </row>
    <row r="24" spans="2:4">
      <c r="B24" s="8" t="s">
        <v>120</v>
      </c>
      <c r="C24" s="24" t="s">
        <v>121</v>
      </c>
      <c r="D24" s="24"/>
    </row>
    <row r="25" spans="2:4">
      <c r="B25" s="8" t="s">
        <v>122</v>
      </c>
      <c r="C25" s="25" t="s">
        <v>123</v>
      </c>
      <c r="D25" s="25"/>
    </row>
    <row r="26" spans="2:4" ht="8" customHeight="1"/>
    <row r="27" spans="2:4">
      <c r="B27" s="35" t="s">
        <v>124</v>
      </c>
      <c r="C27" s="35"/>
      <c r="D27" s="35"/>
    </row>
    <row r="28" spans="2:4">
      <c r="B28" s="8" t="s">
        <v>125</v>
      </c>
      <c r="C28" s="36" t="s">
        <v>126</v>
      </c>
      <c r="D28" s="36"/>
    </row>
    <row r="29" spans="2:4">
      <c r="B29" s="10" t="s">
        <v>127</v>
      </c>
      <c r="C29" s="26" t="s">
        <v>128</v>
      </c>
      <c r="D29" s="26"/>
    </row>
    <row r="30" spans="2:4" ht="8" customHeight="1"/>
    <row r="31" spans="2:4" ht="26" customHeight="1">
      <c r="B31" s="29" t="s">
        <v>129</v>
      </c>
      <c r="C31" s="29"/>
      <c r="D31" s="29"/>
    </row>
    <row r="32" spans="2:4">
      <c r="B32" s="8" t="s">
        <v>130</v>
      </c>
      <c r="C32" s="9" t="s">
        <v>131</v>
      </c>
      <c r="D32" s="9"/>
    </row>
    <row r="33" spans="2:4">
      <c r="B33" s="8" t="s">
        <v>132</v>
      </c>
      <c r="C33" s="32" t="s">
        <v>133</v>
      </c>
      <c r="D33" s="32"/>
    </row>
    <row r="34" spans="2:4" ht="8" customHeight="1"/>
    <row r="35" spans="2:4" ht="26" customHeight="1">
      <c r="B35" s="29" t="s">
        <v>134</v>
      </c>
      <c r="C35" s="29"/>
      <c r="D35" s="29"/>
    </row>
    <row r="36" spans="2:4" ht="22" customHeight="1">
      <c r="B36" s="37" t="s">
        <v>29</v>
      </c>
      <c r="C36" s="37" t="s">
        <v>30</v>
      </c>
      <c r="D36" s="37" t="s">
        <v>31</v>
      </c>
    </row>
    <row r="37" spans="2:4" ht="30" customHeight="1">
      <c r="B37" s="13" t="s">
        <v>74</v>
      </c>
      <c r="C37" s="14" t="s">
        <v>135</v>
      </c>
      <c r="D37" s="15" t="s">
        <v>136</v>
      </c>
    </row>
    <row r="38" spans="2:4" ht="30" customHeight="1">
      <c r="B38" s="16" t="s">
        <v>137</v>
      </c>
      <c r="C38" s="17" t="s">
        <v>138</v>
      </c>
      <c r="D38" s="18" t="s">
        <v>139</v>
      </c>
    </row>
    <row r="39" spans="2:4" ht="30" customHeight="1">
      <c r="B39" s="13" t="s">
        <v>140</v>
      </c>
      <c r="C39" s="14" t="s">
        <v>141</v>
      </c>
      <c r="D39" s="15">
        <f> i_net × dt/3600</f>
        <v>0</v>
      </c>
    </row>
    <row r="40" spans="2:4" ht="30" customHeight="1">
      <c r="B40" s="16" t="s">
        <v>142</v>
      </c>
      <c r="C40" s="17" t="s">
        <v>143</v>
      </c>
      <c r="D40" s="18" t="s">
        <v>144</v>
      </c>
    </row>
    <row r="41" spans="2:4" ht="30" customHeight="1">
      <c r="B41" s="13" t="s">
        <v>145</v>
      </c>
      <c r="C41" s="14" t="s">
        <v>146</v>
      </c>
      <c r="D41" s="15" t="s">
        <v>147</v>
      </c>
    </row>
    <row r="42" spans="2:4" ht="30" customHeight="1">
      <c r="B42" s="16" t="s">
        <v>148</v>
      </c>
      <c r="C42" s="17" t="s">
        <v>149</v>
      </c>
      <c r="D42" s="18">
        <f> SoC_initial − ΣdAh/cap × 100</f>
        <v>0</v>
      </c>
    </row>
    <row r="43" spans="2:4" ht="30" customHeight="1">
      <c r="B43" s="13" t="s">
        <v>150</v>
      </c>
      <c r="C43" s="14" t="s">
        <v>151</v>
      </c>
      <c r="D43" s="15" t="s">
        <v>152</v>
      </c>
    </row>
    <row r="44" spans="2:4" ht="30" customHeight="1">
      <c r="B44" s="16" t="s">
        <v>153</v>
      </c>
      <c r="C44" s="17" t="s">
        <v>154</v>
      </c>
      <c r="D44" s="18" t="s">
        <v>155</v>
      </c>
    </row>
    <row r="45" spans="2:4" ht="30" customHeight="1">
      <c r="B45" s="13" t="s">
        <v>156</v>
      </c>
      <c r="C45" s="14" t="s">
        <v>157</v>
      </c>
      <c r="D45" s="15" t="s">
        <v>158</v>
      </c>
    </row>
    <row r="46" spans="2:4" ht="30" customHeight="1">
      <c r="B46" s="16" t="s">
        <v>83</v>
      </c>
      <c r="C46" s="17" t="s">
        <v>159</v>
      </c>
      <c r="D46" s="18" t="s">
        <v>85</v>
      </c>
    </row>
    <row r="47" spans="2:4" ht="30" customHeight="1">
      <c r="B47" s="13" t="s">
        <v>40</v>
      </c>
      <c r="C47" s="14" t="s">
        <v>160</v>
      </c>
      <c r="D47" s="15" t="s">
        <v>161</v>
      </c>
    </row>
    <row r="48" spans="2:4" ht="30" customHeight="1">
      <c r="B48" s="16" t="s">
        <v>162</v>
      </c>
      <c r="C48" s="17" t="s">
        <v>163</v>
      </c>
      <c r="D48" s="18">
        <f> V + bleed × Rin (ชดเชยแรงดันตก)</f>
        <v>0</v>
      </c>
    </row>
    <row r="49" spans="2:4" ht="30" customHeight="1">
      <c r="B49" s="13" t="s">
        <v>164</v>
      </c>
      <c r="C49" s="14" t="s">
        <v>165</v>
      </c>
      <c r="D49" s="15" t="s">
        <v>166</v>
      </c>
    </row>
    <row r="50" spans="2:4" ht="30" customHeight="1">
      <c r="B50" s="16" t="s">
        <v>167</v>
      </c>
      <c r="C50" s="17" t="s">
        <v>168</v>
      </c>
      <c r="D50" s="18" t="s">
        <v>169</v>
      </c>
    </row>
    <row r="51" spans="2:4" ht="30" customHeight="1">
      <c r="B51" s="13" t="s">
        <v>170</v>
      </c>
      <c r="C51" s="14" t="s">
        <v>171</v>
      </c>
      <c r="D51" s="15" t="s">
        <v>172</v>
      </c>
    </row>
    <row r="52" spans="2:4" ht="8" customHeight="1"/>
    <row r="53" spans="2:4" ht="26" customHeight="1">
      <c r="B53" s="19" t="s">
        <v>43</v>
      </c>
      <c r="C53" s="19"/>
      <c r="D53" s="19"/>
    </row>
    <row r="54" spans="2:4" ht="30" customHeight="1">
      <c r="B54" s="20" t="s">
        <v>173</v>
      </c>
      <c r="C54" s="20"/>
      <c r="D54" s="20"/>
    </row>
    <row r="55" spans="2:4" ht="22" customHeight="1">
      <c r="B55" s="20" t="s">
        <v>174</v>
      </c>
      <c r="C55" s="20"/>
      <c r="D55" s="20"/>
    </row>
    <row r="56" spans="2:4" ht="30" customHeight="1">
      <c r="B56" s="20" t="s">
        <v>175</v>
      </c>
      <c r="C56" s="20"/>
      <c r="D56" s="20"/>
    </row>
  </sheetData>
  <mergeCells count="31">
    <mergeCell ref="B2:D2"/>
    <mergeCell ref="B3:D3"/>
    <mergeCell ref="B5:D5"/>
    <mergeCell ref="C6:D6"/>
    <mergeCell ref="C7:D7"/>
    <mergeCell ref="C8:D8"/>
    <mergeCell ref="B10:D10"/>
    <mergeCell ref="B11:D11"/>
    <mergeCell ref="C12:D12"/>
    <mergeCell ref="C13:D13"/>
    <mergeCell ref="C14:D14"/>
    <mergeCell ref="C15:D15"/>
    <mergeCell ref="B17:D17"/>
    <mergeCell ref="C18:D18"/>
    <mergeCell ref="C19:D19"/>
    <mergeCell ref="B21:D21"/>
    <mergeCell ref="C22:D22"/>
    <mergeCell ref="C23:D23"/>
    <mergeCell ref="C24:D24"/>
    <mergeCell ref="C25:D25"/>
    <mergeCell ref="B27:D27"/>
    <mergeCell ref="C28:D28"/>
    <mergeCell ref="C29:D29"/>
    <mergeCell ref="B31:D31"/>
    <mergeCell ref="C32:D32"/>
    <mergeCell ref="C33:D33"/>
    <mergeCell ref="B35:D35"/>
    <mergeCell ref="B53:D53"/>
    <mergeCell ref="B54:D54"/>
    <mergeCell ref="B55:D55"/>
    <mergeCell ref="B56:D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D45"/>
  <sheetViews>
    <sheetView showGridLines="0" workbookViewId="0"/>
  </sheetViews>
  <sheetFormatPr defaultRowHeight="15"/>
  <cols>
    <col min="1" max="1" width="3.7109375" customWidth="1"/>
    <col min="2" max="2" width="26.7109375" customWidth="1"/>
    <col min="3" max="3" width="60.7109375" customWidth="1"/>
    <col min="4" max="4" width="52.7109375" customWidth="1"/>
    <col min="5" max="5" width="3.7109375" customWidth="1"/>
  </cols>
  <sheetData>
    <row r="2" spans="2:4" ht="36" customHeight="1">
      <c r="B2" s="21" t="s">
        <v>176</v>
      </c>
      <c r="C2" s="21"/>
      <c r="D2" s="21"/>
    </row>
    <row r="3" spans="2:4" ht="20" customHeight="1">
      <c r="B3" s="2" t="s">
        <v>177</v>
      </c>
      <c r="C3" s="2"/>
      <c r="D3" s="2"/>
    </row>
    <row r="5" spans="2:4" ht="26" customHeight="1">
      <c r="B5" s="22" t="s">
        <v>2</v>
      </c>
      <c r="C5" s="22"/>
      <c r="D5" s="22"/>
    </row>
    <row r="6" spans="2:4">
      <c r="B6" s="4" t="s">
        <v>3</v>
      </c>
      <c r="C6" s="5" t="s">
        <v>178</v>
      </c>
      <c r="D6" s="5"/>
    </row>
    <row r="7" spans="2:4">
      <c r="B7" s="4" t="s">
        <v>179</v>
      </c>
      <c r="C7" s="5" t="s">
        <v>180</v>
      </c>
      <c r="D7" s="5"/>
    </row>
    <row r="8" spans="2:4">
      <c r="B8" s="4" t="s">
        <v>181</v>
      </c>
      <c r="C8" s="23" t="s">
        <v>182</v>
      </c>
      <c r="D8" s="23"/>
    </row>
    <row r="9" spans="2:4" ht="8" customHeight="1"/>
    <row r="10" spans="2:4" ht="26" customHeight="1">
      <c r="B10" s="22" t="s">
        <v>183</v>
      </c>
      <c r="C10" s="22"/>
      <c r="D10" s="22"/>
    </row>
    <row r="11" spans="2:4">
      <c r="B11" s="38" t="s">
        <v>184</v>
      </c>
      <c r="C11" s="38"/>
      <c r="D11" s="38"/>
    </row>
    <row r="12" spans="2:4">
      <c r="B12" s="8" t="s">
        <v>185</v>
      </c>
      <c r="C12" s="9" t="s">
        <v>186</v>
      </c>
      <c r="D12" s="9"/>
    </row>
    <row r="13" spans="2:4">
      <c r="B13" s="8" t="s">
        <v>187</v>
      </c>
      <c r="C13" s="9" t="s">
        <v>188</v>
      </c>
      <c r="D13" s="9"/>
    </row>
    <row r="14" spans="2:4">
      <c r="B14" s="4" t="s">
        <v>3</v>
      </c>
      <c r="C14" s="5" t="s">
        <v>189</v>
      </c>
      <c r="D14" s="5"/>
    </row>
    <row r="15" spans="2:4" ht="8" customHeight="1"/>
    <row r="16" spans="2:4">
      <c r="B16" s="34" t="s">
        <v>190</v>
      </c>
      <c r="C16" s="34"/>
      <c r="D16" s="34"/>
    </row>
    <row r="17" spans="2:4">
      <c r="B17" s="8" t="s">
        <v>191</v>
      </c>
      <c r="C17" s="9" t="s">
        <v>192</v>
      </c>
      <c r="D17" s="9"/>
    </row>
    <row r="18" spans="2:4">
      <c r="B18" s="8" t="s">
        <v>193</v>
      </c>
      <c r="C18" s="25" t="s">
        <v>194</v>
      </c>
      <c r="D18" s="25"/>
    </row>
    <row r="19" spans="2:4">
      <c r="B19" s="8" t="s">
        <v>122</v>
      </c>
      <c r="C19" s="9" t="s">
        <v>195</v>
      </c>
      <c r="D19" s="9"/>
    </row>
    <row r="20" spans="2:4" ht="8" customHeight="1"/>
    <row r="21" spans="2:4" ht="26" customHeight="1">
      <c r="B21" s="22" t="s">
        <v>18</v>
      </c>
      <c r="C21" s="22"/>
      <c r="D21" s="22"/>
    </row>
    <row r="22" spans="2:4">
      <c r="B22" s="8" t="s">
        <v>196</v>
      </c>
      <c r="C22" s="9" t="s">
        <v>197</v>
      </c>
      <c r="D22" s="9"/>
    </row>
    <row r="23" spans="2:4">
      <c r="B23" s="8" t="s">
        <v>198</v>
      </c>
      <c r="C23" s="9" t="s">
        <v>199</v>
      </c>
      <c r="D23" s="9"/>
    </row>
    <row r="24" spans="2:4" ht="8" customHeight="1"/>
    <row r="25" spans="2:4" ht="26" customHeight="1">
      <c r="B25" s="22" t="s">
        <v>23</v>
      </c>
      <c r="C25" s="22"/>
      <c r="D25" s="22"/>
    </row>
    <row r="26" spans="2:4">
      <c r="B26" s="8" t="s">
        <v>200</v>
      </c>
      <c r="C26" s="39" t="s">
        <v>201</v>
      </c>
      <c r="D26" s="39"/>
    </row>
    <row r="27" spans="2:4" ht="8" customHeight="1"/>
    <row r="28" spans="2:4" ht="26" customHeight="1">
      <c r="B28" s="22" t="s">
        <v>28</v>
      </c>
      <c r="C28" s="22"/>
      <c r="D28" s="22"/>
    </row>
    <row r="29" spans="2:4" ht="22" customHeight="1">
      <c r="B29" s="27" t="s">
        <v>29</v>
      </c>
      <c r="C29" s="27" t="s">
        <v>30</v>
      </c>
      <c r="D29" s="27" t="s">
        <v>31</v>
      </c>
    </row>
    <row r="30" spans="2:4" ht="30" customHeight="1">
      <c r="B30" s="13" t="s">
        <v>202</v>
      </c>
      <c r="C30" s="14" t="s">
        <v>203</v>
      </c>
      <c r="D30" s="15" t="s">
        <v>204</v>
      </c>
    </row>
    <row r="31" spans="2:4" ht="30" customHeight="1">
      <c r="B31" s="16" t="s">
        <v>205</v>
      </c>
      <c r="C31" s="17" t="s">
        <v>206</v>
      </c>
      <c r="D31" s="18" t="s">
        <v>207</v>
      </c>
    </row>
    <row r="32" spans="2:4" ht="30" customHeight="1">
      <c r="B32" s="13" t="s">
        <v>208</v>
      </c>
      <c r="C32" s="14" t="s">
        <v>209</v>
      </c>
      <c r="D32" s="15" t="s">
        <v>210</v>
      </c>
    </row>
    <row r="33" spans="2:4" ht="30" customHeight="1">
      <c r="B33" s="16" t="s">
        <v>211</v>
      </c>
      <c r="C33" s="17" t="s">
        <v>212</v>
      </c>
      <c r="D33" s="18" t="s">
        <v>213</v>
      </c>
    </row>
    <row r="34" spans="2:4" ht="30" customHeight="1">
      <c r="B34" s="13" t="s">
        <v>214</v>
      </c>
      <c r="C34" s="14" t="s">
        <v>215</v>
      </c>
      <c r="D34" s="15" t="s">
        <v>216</v>
      </c>
    </row>
    <row r="35" spans="2:4" ht="30" customHeight="1">
      <c r="B35" s="16" t="s">
        <v>217</v>
      </c>
      <c r="C35" s="17" t="s">
        <v>218</v>
      </c>
      <c r="D35" s="18" t="s">
        <v>219</v>
      </c>
    </row>
    <row r="36" spans="2:4" ht="30" customHeight="1">
      <c r="B36" s="13" t="s">
        <v>220</v>
      </c>
      <c r="C36" s="14" t="s">
        <v>221</v>
      </c>
      <c r="D36" s="15" t="s">
        <v>216</v>
      </c>
    </row>
    <row r="37" spans="2:4" ht="30" customHeight="1">
      <c r="B37" s="16" t="s">
        <v>222</v>
      </c>
      <c r="C37" s="17" t="s">
        <v>223</v>
      </c>
      <c r="D37" s="18" t="s">
        <v>224</v>
      </c>
    </row>
    <row r="38" spans="2:4" ht="30" customHeight="1">
      <c r="B38" s="13" t="s">
        <v>35</v>
      </c>
      <c r="C38" s="14" t="s">
        <v>225</v>
      </c>
      <c r="D38" s="15" t="s">
        <v>226</v>
      </c>
    </row>
    <row r="39" spans="2:4" ht="30" customHeight="1">
      <c r="B39" s="16" t="s">
        <v>38</v>
      </c>
      <c r="C39" s="17" t="s">
        <v>227</v>
      </c>
      <c r="D39" s="18">
        <f> i_net (หน้า Current)</f>
        <v>0</v>
      </c>
    </row>
    <row r="40" spans="2:4" ht="30" customHeight="1">
      <c r="B40" s="13" t="s">
        <v>228</v>
      </c>
      <c r="C40" s="14" t="s">
        <v>229</v>
      </c>
      <c r="D40" s="15" t="s">
        <v>230</v>
      </c>
    </row>
    <row r="41" spans="2:4" ht="8" customHeight="1"/>
    <row r="42" spans="2:4" ht="26" customHeight="1">
      <c r="B42" s="19" t="s">
        <v>43</v>
      </c>
      <c r="C42" s="19"/>
      <c r="D42" s="19"/>
    </row>
    <row r="43" spans="2:4" ht="30" customHeight="1">
      <c r="B43" s="20" t="s">
        <v>231</v>
      </c>
      <c r="C43" s="20"/>
      <c r="D43" s="20"/>
    </row>
    <row r="44" spans="2:4" ht="30" customHeight="1">
      <c r="B44" s="20" t="s">
        <v>232</v>
      </c>
      <c r="C44" s="20"/>
      <c r="D44" s="20"/>
    </row>
    <row r="45" spans="2:4" ht="22" customHeight="1">
      <c r="B45" s="20" t="s">
        <v>233</v>
      </c>
      <c r="C45" s="20"/>
      <c r="D45" s="20"/>
    </row>
  </sheetData>
  <mergeCells count="25">
    <mergeCell ref="B2:D2"/>
    <mergeCell ref="B3:D3"/>
    <mergeCell ref="B5:D5"/>
    <mergeCell ref="C6:D6"/>
    <mergeCell ref="C7:D7"/>
    <mergeCell ref="C8:D8"/>
    <mergeCell ref="B10:D10"/>
    <mergeCell ref="B11:D11"/>
    <mergeCell ref="C12:D12"/>
    <mergeCell ref="C13:D13"/>
    <mergeCell ref="C14:D14"/>
    <mergeCell ref="B16:D16"/>
    <mergeCell ref="C17:D17"/>
    <mergeCell ref="C18:D18"/>
    <mergeCell ref="C19:D19"/>
    <mergeCell ref="B21:D21"/>
    <mergeCell ref="C22:D22"/>
    <mergeCell ref="C23:D23"/>
    <mergeCell ref="B25:D25"/>
    <mergeCell ref="C26:D26"/>
    <mergeCell ref="B28:D28"/>
    <mergeCell ref="B42:D42"/>
    <mergeCell ref="B43:D43"/>
    <mergeCell ref="B44:D44"/>
    <mergeCell ref="B45:D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D32"/>
  <sheetViews>
    <sheetView showGridLines="0" workbookViewId="0"/>
  </sheetViews>
  <sheetFormatPr defaultRowHeight="15"/>
  <cols>
    <col min="1" max="1" width="3.7109375" customWidth="1"/>
    <col min="2" max="2" width="26.7109375" customWidth="1"/>
    <col min="3" max="3" width="60.7109375" customWidth="1"/>
    <col min="4" max="4" width="52.7109375" customWidth="1"/>
    <col min="5" max="5" width="3.7109375" customWidth="1"/>
  </cols>
  <sheetData>
    <row r="2" spans="2:4" ht="36" customHeight="1">
      <c r="B2" s="40" t="s">
        <v>234</v>
      </c>
      <c r="C2" s="40"/>
      <c r="D2" s="40"/>
    </row>
    <row r="3" spans="2:4" ht="20" customHeight="1">
      <c r="B3" s="2" t="s">
        <v>235</v>
      </c>
      <c r="C3" s="2"/>
      <c r="D3" s="2"/>
    </row>
    <row r="5" spans="2:4" ht="26" customHeight="1">
      <c r="B5" s="3" t="s">
        <v>2</v>
      </c>
      <c r="C5" s="3"/>
      <c r="D5" s="3"/>
    </row>
    <row r="6" spans="2:4">
      <c r="B6" s="4" t="s">
        <v>3</v>
      </c>
      <c r="C6" s="5" t="s">
        <v>236</v>
      </c>
      <c r="D6" s="5"/>
    </row>
    <row r="7" spans="2:4">
      <c r="B7" s="4" t="s">
        <v>5</v>
      </c>
      <c r="C7" s="5" t="s">
        <v>237</v>
      </c>
      <c r="D7" s="5"/>
    </row>
    <row r="8" spans="2:4" ht="8" customHeight="1"/>
    <row r="9" spans="2:4" ht="26" customHeight="1">
      <c r="B9" s="3" t="s">
        <v>238</v>
      </c>
      <c r="C9" s="3"/>
      <c r="D9" s="3"/>
    </row>
    <row r="10" spans="2:4">
      <c r="B10" s="6" t="s">
        <v>239</v>
      </c>
      <c r="C10" s="7" t="s">
        <v>240</v>
      </c>
      <c r="D10" s="7"/>
    </row>
    <row r="11" spans="2:4">
      <c r="B11" s="8" t="s">
        <v>12</v>
      </c>
      <c r="C11" s="9" t="s">
        <v>241</v>
      </c>
      <c r="D11" s="9"/>
    </row>
    <row r="12" spans="2:4">
      <c r="B12" s="6" t="s">
        <v>242</v>
      </c>
      <c r="C12" s="7" t="s">
        <v>243</v>
      </c>
      <c r="D12" s="7"/>
    </row>
    <row r="13" spans="2:4" ht="8" customHeight="1"/>
    <row r="14" spans="2:4" ht="26" customHeight="1">
      <c r="B14" s="3" t="s">
        <v>244</v>
      </c>
      <c r="C14" s="3"/>
      <c r="D14" s="3"/>
    </row>
    <row r="15" spans="2:4">
      <c r="B15" s="10" t="s">
        <v>245</v>
      </c>
      <c r="C15" s="41" t="s">
        <v>246</v>
      </c>
      <c r="D15" s="41"/>
    </row>
    <row r="16" spans="2:4">
      <c r="B16" s="10" t="s">
        <v>247</v>
      </c>
      <c r="C16" s="42" t="s">
        <v>248</v>
      </c>
      <c r="D16" s="42"/>
    </row>
    <row r="17" spans="2:4">
      <c r="B17" s="10" t="s">
        <v>249</v>
      </c>
      <c r="C17" s="30" t="s">
        <v>250</v>
      </c>
      <c r="D17" s="30"/>
    </row>
    <row r="18" spans="2:4" ht="8" customHeight="1"/>
    <row r="19" spans="2:4" ht="26" customHeight="1">
      <c r="B19" s="3" t="s">
        <v>251</v>
      </c>
      <c r="C19" s="3"/>
      <c r="D19" s="3"/>
    </row>
    <row r="20" spans="2:4">
      <c r="B20" s="43" t="s">
        <v>252</v>
      </c>
      <c r="C20" s="43"/>
      <c r="D20" s="43"/>
    </row>
    <row r="21" spans="2:4">
      <c r="B21" s="43" t="s">
        <v>253</v>
      </c>
      <c r="C21" s="43"/>
      <c r="D21" s="43"/>
    </row>
    <row r="22" spans="2:4" ht="8" customHeight="1"/>
    <row r="23" spans="2:4" ht="26" customHeight="1">
      <c r="B23" s="3" t="s">
        <v>28</v>
      </c>
      <c r="C23" s="3"/>
      <c r="D23" s="3"/>
    </row>
    <row r="24" spans="2:4" ht="22" customHeight="1">
      <c r="B24" s="12" t="s">
        <v>29</v>
      </c>
      <c r="C24" s="12" t="s">
        <v>30</v>
      </c>
      <c r="D24" s="12" t="s">
        <v>31</v>
      </c>
    </row>
    <row r="25" spans="2:4" ht="30" customHeight="1">
      <c r="B25" s="13" t="s">
        <v>254</v>
      </c>
      <c r="C25" s="14" t="s">
        <v>255</v>
      </c>
      <c r="D25" s="15" t="s">
        <v>256</v>
      </c>
    </row>
    <row r="26" spans="2:4" ht="30" customHeight="1">
      <c r="B26" s="16" t="s">
        <v>257</v>
      </c>
      <c r="C26" s="17" t="s">
        <v>258</v>
      </c>
      <c r="D26" s="18" t="s">
        <v>259</v>
      </c>
    </row>
    <row r="27" spans="2:4" ht="30" customHeight="1">
      <c r="B27" s="13" t="s">
        <v>260</v>
      </c>
      <c r="C27" s="14" t="s">
        <v>261</v>
      </c>
      <c r="D27" s="15" t="s">
        <v>262</v>
      </c>
    </row>
    <row r="28" spans="2:4" ht="30" customHeight="1">
      <c r="B28" s="16" t="s">
        <v>263</v>
      </c>
      <c r="C28" s="17" t="s">
        <v>264</v>
      </c>
      <c r="D28" s="18" t="s">
        <v>265</v>
      </c>
    </row>
    <row r="29" spans="2:4" ht="8" customHeight="1"/>
    <row r="30" spans="2:4" ht="26" customHeight="1">
      <c r="B30" s="19" t="s">
        <v>43</v>
      </c>
      <c r="C30" s="19"/>
      <c r="D30" s="19"/>
    </row>
    <row r="31" spans="2:4" ht="30" customHeight="1">
      <c r="B31" s="20" t="s">
        <v>266</v>
      </c>
      <c r="C31" s="20"/>
      <c r="D31" s="20"/>
    </row>
    <row r="32" spans="2:4" ht="22" customHeight="1">
      <c r="B32" s="20" t="s">
        <v>267</v>
      </c>
      <c r="C32" s="20"/>
      <c r="D32" s="20"/>
    </row>
  </sheetData>
  <mergeCells count="20">
    <mergeCell ref="B2:D2"/>
    <mergeCell ref="B3:D3"/>
    <mergeCell ref="B5:D5"/>
    <mergeCell ref="C6:D6"/>
    <mergeCell ref="C7:D7"/>
    <mergeCell ref="B9:D9"/>
    <mergeCell ref="C10:D10"/>
    <mergeCell ref="C11:D11"/>
    <mergeCell ref="C12:D12"/>
    <mergeCell ref="B14:D14"/>
    <mergeCell ref="C15:D15"/>
    <mergeCell ref="C16:D16"/>
    <mergeCell ref="C17:D17"/>
    <mergeCell ref="B19:D19"/>
    <mergeCell ref="B20:D20"/>
    <mergeCell ref="B21:D21"/>
    <mergeCell ref="B23:D23"/>
    <mergeCell ref="B30:D30"/>
    <mergeCell ref="B31:D31"/>
    <mergeCell ref="B32:D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D33"/>
  <sheetViews>
    <sheetView showGridLines="0" workbookViewId="0"/>
  </sheetViews>
  <sheetFormatPr defaultRowHeight="15"/>
  <cols>
    <col min="1" max="1" width="3.7109375" customWidth="1"/>
    <col min="2" max="2" width="26.7109375" customWidth="1"/>
    <col min="3" max="3" width="60.7109375" customWidth="1"/>
    <col min="4" max="4" width="52.7109375" customWidth="1"/>
    <col min="5" max="5" width="3.7109375" customWidth="1"/>
  </cols>
  <sheetData>
    <row r="2" spans="2:4" ht="36" customHeight="1">
      <c r="B2" s="44" t="s">
        <v>268</v>
      </c>
      <c r="C2" s="44"/>
      <c r="D2" s="44"/>
    </row>
    <row r="3" spans="2:4" ht="20" customHeight="1">
      <c r="B3" s="2" t="s">
        <v>269</v>
      </c>
      <c r="C3" s="2"/>
      <c r="D3" s="2"/>
    </row>
    <row r="5" spans="2:4" ht="26" customHeight="1">
      <c r="B5" s="45" t="s">
        <v>2</v>
      </c>
      <c r="C5" s="45"/>
      <c r="D5" s="45"/>
    </row>
    <row r="6" spans="2:4">
      <c r="B6" s="4" t="s">
        <v>3</v>
      </c>
      <c r="C6" s="5" t="s">
        <v>270</v>
      </c>
      <c r="D6" s="5"/>
    </row>
    <row r="7" spans="2:4">
      <c r="B7" s="4" t="s">
        <v>271</v>
      </c>
      <c r="C7" s="5" t="s">
        <v>272</v>
      </c>
      <c r="D7" s="5"/>
    </row>
    <row r="8" spans="2:4">
      <c r="B8" s="4" t="s">
        <v>273</v>
      </c>
      <c r="C8" s="23" t="s">
        <v>274</v>
      </c>
      <c r="D8" s="23"/>
    </row>
    <row r="9" spans="2:4" ht="8" customHeight="1"/>
    <row r="10" spans="2:4" ht="26" customHeight="1">
      <c r="B10" s="45" t="s">
        <v>238</v>
      </c>
      <c r="C10" s="45"/>
      <c r="D10" s="45"/>
    </row>
    <row r="11" spans="2:4">
      <c r="B11" s="6" t="s">
        <v>275</v>
      </c>
      <c r="C11" s="7" t="s">
        <v>276</v>
      </c>
      <c r="D11" s="7"/>
    </row>
    <row r="12" spans="2:4">
      <c r="B12" s="8" t="s">
        <v>277</v>
      </c>
      <c r="C12" s="36" t="s">
        <v>278</v>
      </c>
      <c r="D12" s="36"/>
    </row>
    <row r="13" spans="2:4">
      <c r="B13" s="6" t="s">
        <v>279</v>
      </c>
      <c r="C13" s="7" t="s">
        <v>280</v>
      </c>
      <c r="D13" s="7"/>
    </row>
    <row r="14" spans="2:4" ht="8" customHeight="1"/>
    <row r="15" spans="2:4" ht="26" customHeight="1">
      <c r="B15" s="45" t="s">
        <v>18</v>
      </c>
      <c r="C15" s="45"/>
      <c r="D15" s="45"/>
    </row>
    <row r="16" spans="2:4">
      <c r="B16" s="8" t="s">
        <v>281</v>
      </c>
      <c r="C16" s="9" t="s">
        <v>282</v>
      </c>
      <c r="D16" s="9"/>
    </row>
    <row r="17" spans="2:4">
      <c r="B17" s="8" t="s">
        <v>283</v>
      </c>
      <c r="C17" s="9" t="s">
        <v>284</v>
      </c>
      <c r="D17" s="9"/>
    </row>
    <row r="18" spans="2:4" ht="8" customHeight="1"/>
    <row r="19" spans="2:4" ht="26" customHeight="1">
      <c r="B19" s="45" t="s">
        <v>23</v>
      </c>
      <c r="C19" s="45"/>
      <c r="D19" s="45"/>
    </row>
    <row r="20" spans="2:4">
      <c r="B20" s="10" t="s">
        <v>285</v>
      </c>
      <c r="C20" s="11" t="s">
        <v>286</v>
      </c>
      <c r="D20" s="11"/>
    </row>
    <row r="21" spans="2:4">
      <c r="B21" s="8" t="s">
        <v>287</v>
      </c>
      <c r="C21" s="36" t="s">
        <v>288</v>
      </c>
      <c r="D21" s="36"/>
    </row>
    <row r="22" spans="2:4" ht="8" customHeight="1"/>
    <row r="23" spans="2:4" ht="26" customHeight="1">
      <c r="B23" s="45" t="s">
        <v>28</v>
      </c>
      <c r="C23" s="45"/>
      <c r="D23" s="45"/>
    </row>
    <row r="24" spans="2:4" ht="22" customHeight="1">
      <c r="B24" s="46" t="s">
        <v>29</v>
      </c>
      <c r="C24" s="46" t="s">
        <v>30</v>
      </c>
      <c r="D24" s="46" t="s">
        <v>31</v>
      </c>
    </row>
    <row r="25" spans="2:4" ht="30" customHeight="1">
      <c r="B25" s="13" t="s">
        <v>289</v>
      </c>
      <c r="C25" s="14" t="s">
        <v>290</v>
      </c>
      <c r="D25" s="15" t="s">
        <v>291</v>
      </c>
    </row>
    <row r="26" spans="2:4" ht="30" customHeight="1">
      <c r="B26" s="16" t="s">
        <v>292</v>
      </c>
      <c r="C26" s="17" t="s">
        <v>293</v>
      </c>
      <c r="D26" s="18" t="s">
        <v>144</v>
      </c>
    </row>
    <row r="27" spans="2:4" ht="30" customHeight="1">
      <c r="B27" s="13" t="s">
        <v>294</v>
      </c>
      <c r="C27" s="14" t="s">
        <v>295</v>
      </c>
      <c r="D27" s="15" t="s">
        <v>296</v>
      </c>
    </row>
    <row r="28" spans="2:4" ht="30" customHeight="1">
      <c r="B28" s="16" t="s">
        <v>297</v>
      </c>
      <c r="C28" s="17" t="s">
        <v>298</v>
      </c>
      <c r="D28" s="18" t="s">
        <v>299</v>
      </c>
    </row>
    <row r="29" spans="2:4" ht="8" customHeight="1"/>
    <row r="30" spans="2:4" ht="26" customHeight="1">
      <c r="B30" s="19" t="s">
        <v>43</v>
      </c>
      <c r="C30" s="19"/>
      <c r="D30" s="19"/>
    </row>
    <row r="31" spans="2:4" ht="30" customHeight="1">
      <c r="B31" s="20" t="s">
        <v>300</v>
      </c>
      <c r="C31" s="20"/>
      <c r="D31" s="20"/>
    </row>
    <row r="32" spans="2:4" ht="22" customHeight="1">
      <c r="B32" s="20" t="s">
        <v>301</v>
      </c>
      <c r="C32" s="20"/>
      <c r="D32" s="20"/>
    </row>
    <row r="33" spans="2:4" ht="30" customHeight="1">
      <c r="B33" s="20" t="s">
        <v>302</v>
      </c>
      <c r="C33" s="20"/>
      <c r="D33" s="20"/>
    </row>
  </sheetData>
  <mergeCells count="21">
    <mergeCell ref="B2:D2"/>
    <mergeCell ref="B3:D3"/>
    <mergeCell ref="B5:D5"/>
    <mergeCell ref="C6:D6"/>
    <mergeCell ref="C7:D7"/>
    <mergeCell ref="C8:D8"/>
    <mergeCell ref="B10:D10"/>
    <mergeCell ref="C11:D11"/>
    <mergeCell ref="C12:D12"/>
    <mergeCell ref="C13:D13"/>
    <mergeCell ref="B15:D15"/>
    <mergeCell ref="C16:D16"/>
    <mergeCell ref="C17:D17"/>
    <mergeCell ref="B19:D19"/>
    <mergeCell ref="C20:D20"/>
    <mergeCell ref="C21:D21"/>
    <mergeCell ref="B23:D23"/>
    <mergeCell ref="B30:D30"/>
    <mergeCell ref="B31:D31"/>
    <mergeCell ref="B32:D32"/>
    <mergeCell ref="B33:D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F20"/>
  <sheetViews>
    <sheetView showGridLines="0" workbookViewId="0"/>
  </sheetViews>
  <sheetFormatPr defaultRowHeight="15"/>
  <cols>
    <col min="1" max="1" width="3.7109375" customWidth="1"/>
    <col min="2" max="2" width="14.7109375" customWidth="1"/>
    <col min="3" max="3" width="16.7109375" customWidth="1"/>
    <col min="4" max="4" width="20.7109375" customWidth="1"/>
    <col min="5" max="5" width="22.7109375" customWidth="1"/>
    <col min="6" max="6" width="34.7109375" customWidth="1"/>
  </cols>
  <sheetData>
    <row r="2" spans="2:6" ht="36" customHeight="1">
      <c r="B2" s="28" t="s">
        <v>303</v>
      </c>
      <c r="C2" s="28"/>
      <c r="D2" s="28"/>
    </row>
    <row r="3" spans="2:6" ht="20" customHeight="1">
      <c r="B3" s="2" t="s">
        <v>304</v>
      </c>
      <c r="C3" s="2"/>
      <c r="D3" s="2"/>
    </row>
    <row r="5" spans="2:6" ht="24" customHeight="1">
      <c r="B5" s="47" t="s">
        <v>305</v>
      </c>
      <c r="C5" s="47" t="s">
        <v>306</v>
      </c>
      <c r="D5" s="47" t="s">
        <v>307</v>
      </c>
      <c r="E5" s="47" t="s">
        <v>308</v>
      </c>
      <c r="F5" s="47" t="s">
        <v>309</v>
      </c>
    </row>
    <row r="6" spans="2:6" ht="30" customHeight="1">
      <c r="B6" s="48" t="s">
        <v>310</v>
      </c>
      <c r="C6" s="49" t="s">
        <v>311</v>
      </c>
      <c r="D6" s="49" t="s">
        <v>312</v>
      </c>
      <c r="E6" s="49" t="s">
        <v>313</v>
      </c>
      <c r="F6" s="49" t="s">
        <v>314</v>
      </c>
    </row>
    <row r="7" spans="2:6" ht="30" customHeight="1">
      <c r="B7" s="50" t="s">
        <v>315</v>
      </c>
      <c r="C7" s="51" t="s">
        <v>316</v>
      </c>
      <c r="D7" s="51" t="s">
        <v>317</v>
      </c>
      <c r="E7" s="51" t="s">
        <v>318</v>
      </c>
      <c r="F7" s="51" t="s">
        <v>319</v>
      </c>
    </row>
    <row r="8" spans="2:6" ht="30" customHeight="1">
      <c r="B8" s="48" t="s">
        <v>320</v>
      </c>
      <c r="C8" s="49" t="s">
        <v>321</v>
      </c>
      <c r="D8" s="49" t="s">
        <v>312</v>
      </c>
      <c r="E8" s="49" t="s">
        <v>313</v>
      </c>
      <c r="F8" s="49" t="s">
        <v>314</v>
      </c>
    </row>
    <row r="9" spans="2:6" ht="30" customHeight="1">
      <c r="B9" s="50" t="s">
        <v>322</v>
      </c>
      <c r="C9" s="51" t="s">
        <v>323</v>
      </c>
      <c r="D9" s="51" t="s">
        <v>324</v>
      </c>
      <c r="E9" s="51" t="s">
        <v>325</v>
      </c>
      <c r="F9" s="51" t="s">
        <v>326</v>
      </c>
    </row>
    <row r="11" spans="2:6">
      <c r="B11" s="6" t="s">
        <v>327</v>
      </c>
      <c r="C11" s="6"/>
      <c r="D11" s="6"/>
    </row>
    <row r="12" spans="2:6">
      <c r="B12" s="4" t="s">
        <v>328</v>
      </c>
      <c r="C12" s="52" t="s">
        <v>329</v>
      </c>
      <c r="D12" s="52"/>
      <c r="E12" s="52"/>
      <c r="F12" s="52"/>
    </row>
    <row r="13" spans="2:6">
      <c r="B13" s="4" t="s">
        <v>208</v>
      </c>
      <c r="C13" s="52" t="s">
        <v>330</v>
      </c>
      <c r="D13" s="52"/>
      <c r="E13" s="52"/>
      <c r="F13" s="52"/>
    </row>
    <row r="14" spans="2:6">
      <c r="B14" s="4" t="s">
        <v>214</v>
      </c>
      <c r="C14" s="52" t="s">
        <v>331</v>
      </c>
      <c r="D14" s="52"/>
      <c r="E14" s="52"/>
      <c r="F14" s="52"/>
    </row>
    <row r="15" spans="2:6">
      <c r="B15" s="4" t="s">
        <v>220</v>
      </c>
      <c r="C15" s="52" t="s">
        <v>332</v>
      </c>
      <c r="D15" s="52"/>
      <c r="E15" s="52"/>
      <c r="F15" s="52"/>
    </row>
    <row r="17" spans="2:6" ht="26" customHeight="1">
      <c r="B17" s="29" t="s">
        <v>333</v>
      </c>
      <c r="C17" s="29"/>
      <c r="D17" s="29"/>
      <c r="E17" s="29"/>
      <c r="F17" s="29"/>
    </row>
    <row r="18" spans="2:6">
      <c r="B18" s="6" t="s">
        <v>334</v>
      </c>
      <c r="C18" s="53" t="s">
        <v>335</v>
      </c>
      <c r="D18" s="53"/>
      <c r="E18" s="53"/>
      <c r="F18" s="53"/>
    </row>
    <row r="19" spans="2:6">
      <c r="B19" s="6" t="s">
        <v>336</v>
      </c>
      <c r="C19" s="53" t="s">
        <v>337</v>
      </c>
      <c r="D19" s="53"/>
      <c r="E19" s="53"/>
      <c r="F19" s="53"/>
    </row>
    <row r="20" spans="2:6">
      <c r="B20" s="6" t="s">
        <v>338</v>
      </c>
      <c r="C20" s="53" t="s">
        <v>339</v>
      </c>
      <c r="D20" s="53"/>
      <c r="E20" s="53"/>
      <c r="F20" s="53"/>
    </row>
  </sheetData>
  <mergeCells count="11">
    <mergeCell ref="B2:D2"/>
    <mergeCell ref="B3:D3"/>
    <mergeCell ref="B11:D11"/>
    <mergeCell ref="C12:F12"/>
    <mergeCell ref="C13:F13"/>
    <mergeCell ref="C14:F14"/>
    <mergeCell ref="C15:F15"/>
    <mergeCell ref="B17:F17"/>
    <mergeCell ref="C18:F18"/>
    <mergeCell ref="C19:F19"/>
    <mergeCell ref="C20:F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D18"/>
  <sheetViews>
    <sheetView showGridLines="0" workbookViewId="0"/>
  </sheetViews>
  <sheetFormatPr defaultRowHeight="15"/>
  <cols>
    <col min="1" max="1" width="3.7109375" customWidth="1"/>
    <col min="2" max="2" width="22.7109375" customWidth="1"/>
    <col min="3" max="4" width="44.7109375" customWidth="1"/>
  </cols>
  <sheetData>
    <row r="2" spans="2:4" ht="36" customHeight="1">
      <c r="B2" s="40" t="s">
        <v>340</v>
      </c>
      <c r="C2" s="40"/>
      <c r="D2" s="40"/>
    </row>
    <row r="3" spans="2:4" ht="20" customHeight="1">
      <c r="B3" s="2" t="s">
        <v>341</v>
      </c>
      <c r="C3" s="2"/>
      <c r="D3" s="2"/>
    </row>
    <row r="5" spans="2:4" ht="24" customHeight="1">
      <c r="B5" s="54" t="s">
        <v>342</v>
      </c>
      <c r="C5" s="54" t="s">
        <v>343</v>
      </c>
      <c r="D5" s="54" t="s">
        <v>344</v>
      </c>
    </row>
    <row r="6" spans="2:4" ht="54" customHeight="1">
      <c r="B6" s="33" t="s">
        <v>345</v>
      </c>
      <c r="C6" s="43" t="s">
        <v>346</v>
      </c>
      <c r="D6" s="43" t="s">
        <v>347</v>
      </c>
    </row>
    <row r="7" spans="2:4" ht="54" customHeight="1">
      <c r="B7" s="55" t="s">
        <v>348</v>
      </c>
      <c r="C7" s="56" t="s">
        <v>349</v>
      </c>
      <c r="D7" s="56" t="s">
        <v>350</v>
      </c>
    </row>
    <row r="8" spans="2:4" ht="54" customHeight="1">
      <c r="B8" s="33" t="s">
        <v>351</v>
      </c>
      <c r="C8" s="43" t="s">
        <v>352</v>
      </c>
      <c r="D8" s="43" t="s">
        <v>353</v>
      </c>
    </row>
    <row r="9" spans="2:4" ht="54" customHeight="1">
      <c r="B9" s="55" t="s">
        <v>354</v>
      </c>
      <c r="C9" s="56" t="s">
        <v>355</v>
      </c>
      <c r="D9" s="56" t="s">
        <v>356</v>
      </c>
    </row>
    <row r="10" spans="2:4" ht="54" customHeight="1">
      <c r="B10" s="33" t="s">
        <v>357</v>
      </c>
      <c r="C10" s="43" t="s">
        <v>358</v>
      </c>
      <c r="D10" s="43" t="s">
        <v>359</v>
      </c>
    </row>
    <row r="12" spans="2:4" ht="26" customHeight="1">
      <c r="B12" s="29" t="s">
        <v>360</v>
      </c>
      <c r="C12" s="29"/>
      <c r="D12" s="29"/>
    </row>
    <row r="13" spans="2:4" ht="20" customHeight="1">
      <c r="B13" s="57" t="s">
        <v>361</v>
      </c>
      <c r="C13" s="57"/>
      <c r="D13" s="57"/>
    </row>
    <row r="14" spans="2:4" ht="20" customHeight="1">
      <c r="B14" s="57" t="s">
        <v>362</v>
      </c>
      <c r="C14" s="57"/>
      <c r="D14" s="57"/>
    </row>
    <row r="15" spans="2:4" ht="20" customHeight="1">
      <c r="B15" s="57" t="s">
        <v>363</v>
      </c>
      <c r="C15" s="57"/>
      <c r="D15" s="57"/>
    </row>
    <row r="16" spans="2:4" ht="20" customHeight="1">
      <c r="B16" s="57" t="s">
        <v>364</v>
      </c>
      <c r="C16" s="57"/>
      <c r="D16" s="57"/>
    </row>
    <row r="17" spans="2:4" ht="20" customHeight="1">
      <c r="B17" s="57" t="s">
        <v>365</v>
      </c>
      <c r="C17" s="57"/>
      <c r="D17" s="57"/>
    </row>
    <row r="18" spans="2:4" ht="20" customHeight="1">
      <c r="B18" s="57" t="s">
        <v>366</v>
      </c>
      <c r="C18" s="57"/>
      <c r="D18" s="57"/>
    </row>
  </sheetData>
  <mergeCells count="9">
    <mergeCell ref="B2:D2"/>
    <mergeCell ref="B3:D3"/>
    <mergeCell ref="B12:D12"/>
    <mergeCell ref="B13:D13"/>
    <mergeCell ref="B14:D14"/>
    <mergeCell ref="B15:D15"/>
    <mergeCell ref="B16:D16"/>
    <mergeCell ref="B17:D17"/>
    <mergeCell ref="B18:D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showGridLines="0" workbookViewId="0"/>
  </sheetViews>
  <sheetFormatPr defaultRowHeight="15" x14ac:dyDescent="0.25"/>
  <cols>
    <col min="1" max="1" width="3.7109375" customWidth="1"/>
    <col min="2" max="2" width="5.7109375" customWidth="1"/>
    <col min="3" max="3" width="16.7109375" customWidth="1"/>
    <col min="4" max="4" width="46.7109375" customWidth="1"/>
    <col min="5" max="5" width="34.7109375" customWidth="1"/>
    <col min="6" max="6" width="10.7109375" customWidth="1"/>
    <col min="7" max="7" width="14.7109375" customWidth="1"/>
  </cols>
  <sheetData>
    <row r="2" spans="2:7" ht="32" customHeight="1" x14ac:dyDescent="0.25">
      <c r="B2" s="58" t="s">
        <v>367</v>
      </c>
      <c r="C2" s="58"/>
      <c r="D2" s="58"/>
      <c r="E2" s="58"/>
      <c r="F2" s="58"/>
      <c r="G2" s="58"/>
    </row>
    <row r="3" spans="2:7" ht="20" customHeight="1" x14ac:dyDescent="0.25">
      <c r="B3" s="2" t="s">
        <v>368</v>
      </c>
      <c r="C3" s="2"/>
      <c r="D3" s="2"/>
      <c r="E3" s="2"/>
      <c r="F3" s="2"/>
      <c r="G3" s="2"/>
    </row>
    <row r="5" spans="2:7" ht="24" customHeight="1" x14ac:dyDescent="0.25">
      <c r="B5" s="29" t="s">
        <v>369</v>
      </c>
      <c r="C5" s="29"/>
      <c r="D5" s="29"/>
      <c r="E5" s="29"/>
      <c r="F5" s="29"/>
      <c r="G5" s="29"/>
    </row>
    <row r="6" spans="2:7" ht="20" customHeight="1" x14ac:dyDescent="0.25">
      <c r="B6" s="59" t="s">
        <v>370</v>
      </c>
      <c r="C6" s="60">
        <f>COUNTA(D13:D40)</f>
        <v>0</v>
      </c>
      <c r="D6" s="60"/>
    </row>
    <row r="7" spans="2:7" ht="20" customHeight="1" x14ac:dyDescent="0.25">
      <c r="B7" s="59" t="s">
        <v>371</v>
      </c>
      <c r="C7" s="60">
        <f>COUNTIF(G13:G40,"เสร็จแล้ว")</f>
        <v>0</v>
      </c>
      <c r="D7" s="60"/>
    </row>
    <row r="8" spans="2:7" ht="20" customHeight="1" x14ac:dyDescent="0.25">
      <c r="B8" s="59" t="s">
        <v>372</v>
      </c>
      <c r="C8" s="60">
        <f>COUNTIF(G13:G40,"กำลังทำ")</f>
        <v>0</v>
      </c>
      <c r="D8" s="60"/>
    </row>
    <row r="9" spans="2:7" ht="35" customHeight="1" x14ac:dyDescent="0.25">
      <c r="B9" s="59" t="s">
        <v>373</v>
      </c>
      <c r="C9" s="61">
        <f>IFERROR(COUNTIF(G13:G40,"เสร็จแล้ว")/COUNTA(D13:D40),0)</f>
        <v>0</v>
      </c>
      <c r="D9" s="61"/>
      <c r="E9" s="61"/>
      <c r="F9" s="61"/>
      <c r="G9" s="61"/>
    </row>
    <row r="12" spans="2:7" ht="22" customHeight="1" x14ac:dyDescent="0.25">
      <c r="B12" s="62" t="s">
        <v>374</v>
      </c>
      <c r="C12" s="62" t="s">
        <v>375</v>
      </c>
      <c r="D12" s="62" t="s">
        <v>376</v>
      </c>
      <c r="E12" s="62" t="s">
        <v>377</v>
      </c>
      <c r="F12" s="62" t="s">
        <v>378</v>
      </c>
      <c r="G12" s="62" t="s">
        <v>379</v>
      </c>
    </row>
    <row r="13" spans="2:7" ht="32" customHeight="1" x14ac:dyDescent="0.25">
      <c r="B13" s="63">
        <v>1</v>
      </c>
      <c r="C13" s="64" t="s">
        <v>380</v>
      </c>
      <c r="D13" s="65" t="s">
        <v>381</v>
      </c>
      <c r="E13" s="65" t="s">
        <v>382</v>
      </c>
      <c r="F13" s="63" t="s">
        <v>383</v>
      </c>
      <c r="G13" s="66" t="s">
        <v>384</v>
      </c>
    </row>
    <row r="14" spans="2:7" ht="32" customHeight="1" x14ac:dyDescent="0.25">
      <c r="B14" s="67">
        <v>2</v>
      </c>
      <c r="C14" s="68" t="s">
        <v>380</v>
      </c>
      <c r="D14" s="69" t="s">
        <v>385</v>
      </c>
      <c r="E14" s="69" t="s">
        <v>386</v>
      </c>
      <c r="F14" s="67" t="s">
        <v>383</v>
      </c>
      <c r="G14" s="66" t="s">
        <v>384</v>
      </c>
    </row>
    <row r="15" spans="2:7" ht="32" customHeight="1" x14ac:dyDescent="0.25">
      <c r="B15" s="63">
        <v>3</v>
      </c>
      <c r="C15" s="64" t="s">
        <v>387</v>
      </c>
      <c r="D15" s="65" t="s">
        <v>388</v>
      </c>
      <c r="E15" s="65" t="s">
        <v>389</v>
      </c>
      <c r="F15" s="63" t="s">
        <v>390</v>
      </c>
      <c r="G15" s="66" t="s">
        <v>384</v>
      </c>
    </row>
    <row r="16" spans="2:7" ht="32" customHeight="1" x14ac:dyDescent="0.25">
      <c r="B16" s="67">
        <v>4</v>
      </c>
      <c r="C16" s="68" t="s">
        <v>387</v>
      </c>
      <c r="D16" s="69" t="s">
        <v>391</v>
      </c>
      <c r="E16" s="69" t="s">
        <v>392</v>
      </c>
      <c r="F16" s="67" t="s">
        <v>393</v>
      </c>
      <c r="G16" s="66" t="s">
        <v>384</v>
      </c>
    </row>
    <row r="17" spans="2:7" ht="32" customHeight="1" x14ac:dyDescent="0.25">
      <c r="B17" s="63">
        <v>5</v>
      </c>
      <c r="C17" s="64" t="s">
        <v>394</v>
      </c>
      <c r="D17" s="65" t="s">
        <v>395</v>
      </c>
      <c r="E17" s="65" t="s">
        <v>396</v>
      </c>
      <c r="F17" s="63" t="s">
        <v>393</v>
      </c>
      <c r="G17" s="66" t="s">
        <v>384</v>
      </c>
    </row>
    <row r="18" spans="2:7" ht="32" customHeight="1" x14ac:dyDescent="0.25">
      <c r="B18" s="67">
        <v>6</v>
      </c>
      <c r="C18" s="68" t="s">
        <v>394</v>
      </c>
      <c r="D18" s="69" t="s">
        <v>397</v>
      </c>
      <c r="E18" s="69" t="s">
        <v>398</v>
      </c>
      <c r="F18" s="67" t="s">
        <v>399</v>
      </c>
      <c r="G18" s="66" t="s">
        <v>384</v>
      </c>
    </row>
    <row r="19" spans="2:7" ht="32" customHeight="1" x14ac:dyDescent="0.25">
      <c r="B19" s="63">
        <v>7</v>
      </c>
      <c r="C19" s="64" t="s">
        <v>394</v>
      </c>
      <c r="D19" s="65" t="s">
        <v>400</v>
      </c>
      <c r="E19" s="65" t="s">
        <v>401</v>
      </c>
      <c r="F19" s="63" t="s">
        <v>402</v>
      </c>
      <c r="G19" s="66" t="s">
        <v>384</v>
      </c>
    </row>
    <row r="20" spans="2:7" ht="32" customHeight="1" x14ac:dyDescent="0.25">
      <c r="B20" s="67">
        <v>8</v>
      </c>
      <c r="C20" s="68" t="s">
        <v>394</v>
      </c>
      <c r="D20" s="69" t="s">
        <v>403</v>
      </c>
      <c r="E20" s="69" t="s">
        <v>404</v>
      </c>
      <c r="F20" s="67" t="s">
        <v>405</v>
      </c>
      <c r="G20" s="66" t="s">
        <v>384</v>
      </c>
    </row>
    <row r="21" spans="2:7" ht="32" customHeight="1" x14ac:dyDescent="0.25">
      <c r="B21" s="63">
        <v>9</v>
      </c>
      <c r="C21" s="64" t="s">
        <v>406</v>
      </c>
      <c r="D21" s="65" t="s">
        <v>407</v>
      </c>
      <c r="E21" s="65" t="s">
        <v>408</v>
      </c>
      <c r="F21" s="63" t="s">
        <v>405</v>
      </c>
      <c r="G21" s="66" t="s">
        <v>384</v>
      </c>
    </row>
    <row r="22" spans="2:7" ht="32" customHeight="1" x14ac:dyDescent="0.25">
      <c r="B22" s="67">
        <v>10</v>
      </c>
      <c r="C22" s="68" t="s">
        <v>406</v>
      </c>
      <c r="D22" s="69" t="s">
        <v>409</v>
      </c>
      <c r="E22" s="69" t="s">
        <v>410</v>
      </c>
      <c r="F22" s="67" t="s">
        <v>411</v>
      </c>
      <c r="G22" s="66" t="s">
        <v>384</v>
      </c>
    </row>
    <row r="23" spans="2:7" ht="32" customHeight="1" x14ac:dyDescent="0.25">
      <c r="B23" s="63">
        <v>11</v>
      </c>
      <c r="C23" s="64" t="s">
        <v>406</v>
      </c>
      <c r="D23" s="65" t="s">
        <v>412</v>
      </c>
      <c r="E23" s="65" t="s">
        <v>413</v>
      </c>
      <c r="F23" s="63" t="s">
        <v>414</v>
      </c>
      <c r="G23" s="66" t="s">
        <v>384</v>
      </c>
    </row>
    <row r="24" spans="2:7" ht="32" customHeight="1" x14ac:dyDescent="0.25">
      <c r="B24" s="67">
        <v>12</v>
      </c>
      <c r="C24" s="68" t="s">
        <v>415</v>
      </c>
      <c r="D24" s="69" t="s">
        <v>416</v>
      </c>
      <c r="E24" s="69" t="s">
        <v>417</v>
      </c>
      <c r="F24" s="67" t="s">
        <v>418</v>
      </c>
      <c r="G24" s="66" t="s">
        <v>384</v>
      </c>
    </row>
    <row r="25" spans="2:7" ht="32" customHeight="1" x14ac:dyDescent="0.25">
      <c r="B25" s="63">
        <v>13</v>
      </c>
      <c r="C25" s="64" t="s">
        <v>415</v>
      </c>
      <c r="D25" s="65" t="s">
        <v>419</v>
      </c>
      <c r="E25" s="65" t="s">
        <v>420</v>
      </c>
      <c r="F25" s="63" t="s">
        <v>418</v>
      </c>
      <c r="G25" s="66" t="s">
        <v>384</v>
      </c>
    </row>
    <row r="26" spans="2:7" ht="32" customHeight="1" x14ac:dyDescent="0.25">
      <c r="B26" s="67">
        <v>14</v>
      </c>
      <c r="C26" s="68" t="s">
        <v>415</v>
      </c>
      <c r="D26" s="69" t="s">
        <v>421</v>
      </c>
      <c r="E26" s="69" t="s">
        <v>422</v>
      </c>
      <c r="F26" s="67" t="s">
        <v>418</v>
      </c>
      <c r="G26" s="66" t="s">
        <v>384</v>
      </c>
    </row>
    <row r="27" spans="2:7" ht="32" customHeight="1" x14ac:dyDescent="0.25">
      <c r="B27" s="63">
        <v>15</v>
      </c>
      <c r="C27" s="64" t="s">
        <v>415</v>
      </c>
      <c r="D27" s="65" t="s">
        <v>423</v>
      </c>
      <c r="E27" s="65" t="s">
        <v>424</v>
      </c>
      <c r="F27" s="63" t="s">
        <v>418</v>
      </c>
      <c r="G27" s="66" t="s">
        <v>384</v>
      </c>
    </row>
    <row r="28" spans="2:7" ht="32" customHeight="1" x14ac:dyDescent="0.25">
      <c r="B28" s="67">
        <v>16</v>
      </c>
      <c r="C28" s="68" t="s">
        <v>415</v>
      </c>
      <c r="D28" s="69" t="s">
        <v>425</v>
      </c>
      <c r="E28" s="69" t="s">
        <v>426</v>
      </c>
      <c r="F28" s="67" t="s">
        <v>427</v>
      </c>
      <c r="G28" s="66" t="s">
        <v>384</v>
      </c>
    </row>
    <row r="29" spans="2:7" ht="32" customHeight="1" x14ac:dyDescent="0.25">
      <c r="B29" s="63">
        <v>17</v>
      </c>
      <c r="C29" s="64" t="s">
        <v>415</v>
      </c>
      <c r="D29" s="65" t="s">
        <v>428</v>
      </c>
      <c r="E29" s="65" t="s">
        <v>429</v>
      </c>
      <c r="F29" s="63" t="s">
        <v>427</v>
      </c>
      <c r="G29" s="66" t="s">
        <v>384</v>
      </c>
    </row>
    <row r="30" spans="2:7" ht="32" customHeight="1" x14ac:dyDescent="0.25">
      <c r="B30" s="67">
        <v>18</v>
      </c>
      <c r="C30" s="68" t="s">
        <v>415</v>
      </c>
      <c r="D30" s="69" t="s">
        <v>430</v>
      </c>
      <c r="E30" s="69" t="s">
        <v>431</v>
      </c>
      <c r="F30" s="67" t="s">
        <v>427</v>
      </c>
      <c r="G30" s="66" t="s">
        <v>384</v>
      </c>
    </row>
    <row r="31" spans="2:7" ht="32" customHeight="1" x14ac:dyDescent="0.25">
      <c r="B31" s="63">
        <v>19</v>
      </c>
      <c r="C31" s="64" t="s">
        <v>415</v>
      </c>
      <c r="D31" s="65" t="s">
        <v>432</v>
      </c>
      <c r="E31" s="65" t="s">
        <v>433</v>
      </c>
      <c r="F31" s="63" t="s">
        <v>427</v>
      </c>
      <c r="G31" s="66" t="s">
        <v>384</v>
      </c>
    </row>
    <row r="32" spans="2:7" ht="32" customHeight="1" x14ac:dyDescent="0.25">
      <c r="B32" s="67">
        <v>20</v>
      </c>
      <c r="C32" s="68" t="s">
        <v>434</v>
      </c>
      <c r="D32" s="69" t="s">
        <v>435</v>
      </c>
      <c r="E32" s="69" t="s">
        <v>436</v>
      </c>
      <c r="F32" s="67" t="s">
        <v>437</v>
      </c>
      <c r="G32" s="66" t="s">
        <v>384</v>
      </c>
    </row>
    <row r="33" spans="2:7" ht="32" customHeight="1" x14ac:dyDescent="0.25">
      <c r="B33" s="63">
        <v>21</v>
      </c>
      <c r="C33" s="64" t="s">
        <v>434</v>
      </c>
      <c r="D33" s="65" t="s">
        <v>438</v>
      </c>
      <c r="E33" s="65" t="s">
        <v>439</v>
      </c>
      <c r="F33" s="63" t="s">
        <v>437</v>
      </c>
      <c r="G33" s="66" t="s">
        <v>384</v>
      </c>
    </row>
    <row r="34" spans="2:7" ht="32" customHeight="1" x14ac:dyDescent="0.25">
      <c r="B34" s="67">
        <v>22</v>
      </c>
      <c r="C34" s="68" t="s">
        <v>434</v>
      </c>
      <c r="D34" s="69" t="s">
        <v>440</v>
      </c>
      <c r="E34" s="69" t="s">
        <v>441</v>
      </c>
      <c r="F34" s="67" t="s">
        <v>437</v>
      </c>
      <c r="G34" s="66" t="s">
        <v>384</v>
      </c>
    </row>
    <row r="35" spans="2:7" ht="32" customHeight="1" x14ac:dyDescent="0.25">
      <c r="B35" s="63">
        <v>23</v>
      </c>
      <c r="C35" s="64" t="s">
        <v>442</v>
      </c>
      <c r="D35" s="65" t="s">
        <v>443</v>
      </c>
      <c r="E35" s="65" t="s">
        <v>444</v>
      </c>
      <c r="F35" s="63" t="s">
        <v>445</v>
      </c>
      <c r="G35" s="66" t="s">
        <v>384</v>
      </c>
    </row>
    <row r="36" spans="2:7" ht="32" customHeight="1" x14ac:dyDescent="0.25">
      <c r="B36" s="67">
        <v>24</v>
      </c>
      <c r="C36" s="68" t="s">
        <v>442</v>
      </c>
      <c r="D36" s="69" t="s">
        <v>446</v>
      </c>
      <c r="E36" s="69" t="s">
        <v>447</v>
      </c>
      <c r="F36" s="67" t="s">
        <v>448</v>
      </c>
      <c r="G36" s="66" t="s">
        <v>384</v>
      </c>
    </row>
    <row r="37" spans="2:7" ht="32" customHeight="1" x14ac:dyDescent="0.25">
      <c r="B37" s="63">
        <v>25</v>
      </c>
      <c r="C37" s="64" t="s">
        <v>442</v>
      </c>
      <c r="D37" s="65" t="s">
        <v>449</v>
      </c>
      <c r="E37" s="65" t="s">
        <v>450</v>
      </c>
      <c r="F37" s="63" t="s">
        <v>451</v>
      </c>
      <c r="G37" s="66" t="s">
        <v>384</v>
      </c>
    </row>
    <row r="38" spans="2:7" ht="32" customHeight="1" x14ac:dyDescent="0.25">
      <c r="B38" s="67">
        <v>26</v>
      </c>
      <c r="C38" s="68" t="s">
        <v>452</v>
      </c>
      <c r="D38" s="69" t="s">
        <v>453</v>
      </c>
      <c r="E38" s="69" t="s">
        <v>454</v>
      </c>
      <c r="F38" s="67" t="s">
        <v>455</v>
      </c>
      <c r="G38" s="66" t="s">
        <v>384</v>
      </c>
    </row>
    <row r="39" spans="2:7" ht="32" customHeight="1" x14ac:dyDescent="0.25">
      <c r="B39" s="63">
        <v>27</v>
      </c>
      <c r="C39" s="64" t="s">
        <v>452</v>
      </c>
      <c r="D39" s="65" t="s">
        <v>456</v>
      </c>
      <c r="E39" s="65" t="s">
        <v>457</v>
      </c>
      <c r="F39" s="63" t="s">
        <v>455</v>
      </c>
      <c r="G39" s="66" t="s">
        <v>384</v>
      </c>
    </row>
    <row r="40" spans="2:7" ht="32" customHeight="1" x14ac:dyDescent="0.25">
      <c r="B40" s="67">
        <v>28</v>
      </c>
      <c r="C40" s="68" t="s">
        <v>452</v>
      </c>
      <c r="D40" s="69" t="s">
        <v>458</v>
      </c>
      <c r="E40" s="69" t="s">
        <v>459</v>
      </c>
      <c r="F40" s="67" t="s">
        <v>460</v>
      </c>
      <c r="G40" s="66" t="s">
        <v>384</v>
      </c>
    </row>
  </sheetData>
  <mergeCells count="7">
    <mergeCell ref="B2:G2"/>
    <mergeCell ref="B3:G3"/>
    <mergeCell ref="B5:G5"/>
    <mergeCell ref="C6:D6"/>
    <mergeCell ref="C7:D7"/>
    <mergeCell ref="C8:D8"/>
    <mergeCell ref="C9:G9"/>
  </mergeCells>
  <conditionalFormatting sqref="C9:G9">
    <cfRule type="dataBar" priority="1">
      <dataBar>
        <cfvo type="num" val="0"/>
        <cfvo type="num" val="1"/>
        <color rgb="FF4CAF50"/>
      </dataBar>
      <extLst>
        <ext xmlns:x14="http://schemas.microsoft.com/office/spreadsheetml/2009/9/main" uri="{B025F937-C7B1-47D3-B67F-A62EFF666E3E}">
          <x14:id>{DA7ABA51-AAAA-BBBB-0009-000000000001}</x14:id>
        </ext>
      </extLst>
    </cfRule>
  </conditionalFormatting>
  <conditionalFormatting sqref="G13">
    <cfRule type="containsText" dxfId="0" priority="2" operator="containsText" text="เสร็จแล้ว">
      <formula>NOT(ISERROR(SEARCH("เสร็จแล้ว",G13)))</formula>
    </cfRule>
    <cfRule type="containsText" dxfId="1" priority="3" operator="containsText" text="กำลังทำ">
      <formula>NOT(ISERROR(SEARCH("กำลังทำ",G13)))</formula>
    </cfRule>
    <cfRule type="containsText" dxfId="2" priority="4" operator="containsText" text="ข้าม">
      <formula>NOT(ISERROR(SEARCH("ข้าม",G13)))</formula>
    </cfRule>
  </conditionalFormatting>
  <conditionalFormatting sqref="G14">
    <cfRule type="containsText" dxfId="0" priority="5" operator="containsText" text="เสร็จแล้ว">
      <formula>NOT(ISERROR(SEARCH("เสร็จแล้ว",G14)))</formula>
    </cfRule>
    <cfRule type="containsText" dxfId="1" priority="6" operator="containsText" text="กำลังทำ">
      <formula>NOT(ISERROR(SEARCH("กำลังทำ",G14)))</formula>
    </cfRule>
    <cfRule type="containsText" dxfId="2" priority="7" operator="containsText" text="ข้าม">
      <formula>NOT(ISERROR(SEARCH("ข้าม",G14)))</formula>
    </cfRule>
  </conditionalFormatting>
  <conditionalFormatting sqref="G15">
    <cfRule type="containsText" dxfId="0" priority="8" operator="containsText" text="เสร็จแล้ว">
      <formula>NOT(ISERROR(SEARCH("เสร็จแล้ว",G15)))</formula>
    </cfRule>
    <cfRule type="containsText" dxfId="1" priority="9" operator="containsText" text="กำลังทำ">
      <formula>NOT(ISERROR(SEARCH("กำลังทำ",G15)))</formula>
    </cfRule>
    <cfRule type="containsText" dxfId="2" priority="10" operator="containsText" text="ข้าม">
      <formula>NOT(ISERROR(SEARCH("ข้าม",G15)))</formula>
    </cfRule>
  </conditionalFormatting>
  <conditionalFormatting sqref="G16">
    <cfRule type="containsText" dxfId="0" priority="11" operator="containsText" text="เสร็จแล้ว">
      <formula>NOT(ISERROR(SEARCH("เสร็จแล้ว",G16)))</formula>
    </cfRule>
    <cfRule type="containsText" dxfId="1" priority="12" operator="containsText" text="กำลังทำ">
      <formula>NOT(ISERROR(SEARCH("กำลังทำ",G16)))</formula>
    </cfRule>
    <cfRule type="containsText" dxfId="2" priority="13" operator="containsText" text="ข้าม">
      <formula>NOT(ISERROR(SEARCH("ข้าม",G16)))</formula>
    </cfRule>
  </conditionalFormatting>
  <conditionalFormatting sqref="G17">
    <cfRule type="containsText" dxfId="0" priority="14" operator="containsText" text="เสร็จแล้ว">
      <formula>NOT(ISERROR(SEARCH("เสร็จแล้ว",G17)))</formula>
    </cfRule>
    <cfRule type="containsText" dxfId="1" priority="15" operator="containsText" text="กำลังทำ">
      <formula>NOT(ISERROR(SEARCH("กำลังทำ",G17)))</formula>
    </cfRule>
    <cfRule type="containsText" dxfId="2" priority="16" operator="containsText" text="ข้าม">
      <formula>NOT(ISERROR(SEARCH("ข้าม",G17)))</formula>
    </cfRule>
  </conditionalFormatting>
  <conditionalFormatting sqref="G18">
    <cfRule type="containsText" dxfId="0" priority="17" operator="containsText" text="เสร็จแล้ว">
      <formula>NOT(ISERROR(SEARCH("เสร็จแล้ว",G18)))</formula>
    </cfRule>
    <cfRule type="containsText" dxfId="1" priority="18" operator="containsText" text="กำลังทำ">
      <formula>NOT(ISERROR(SEARCH("กำลังทำ",G18)))</formula>
    </cfRule>
    <cfRule type="containsText" dxfId="2" priority="19" operator="containsText" text="ข้าม">
      <formula>NOT(ISERROR(SEARCH("ข้าม",G18)))</formula>
    </cfRule>
  </conditionalFormatting>
  <conditionalFormatting sqref="G19">
    <cfRule type="containsText" dxfId="0" priority="20" operator="containsText" text="เสร็จแล้ว">
      <formula>NOT(ISERROR(SEARCH("เสร็จแล้ว",G19)))</formula>
    </cfRule>
    <cfRule type="containsText" dxfId="1" priority="21" operator="containsText" text="กำลังทำ">
      <formula>NOT(ISERROR(SEARCH("กำลังทำ",G19)))</formula>
    </cfRule>
    <cfRule type="containsText" dxfId="2" priority="22" operator="containsText" text="ข้าม">
      <formula>NOT(ISERROR(SEARCH("ข้าม",G19)))</formula>
    </cfRule>
  </conditionalFormatting>
  <conditionalFormatting sqref="G20">
    <cfRule type="containsText" dxfId="0" priority="23" operator="containsText" text="เสร็จแล้ว">
      <formula>NOT(ISERROR(SEARCH("เสร็จแล้ว",G20)))</formula>
    </cfRule>
    <cfRule type="containsText" dxfId="1" priority="24" operator="containsText" text="กำลังทำ">
      <formula>NOT(ISERROR(SEARCH("กำลังทำ",G20)))</formula>
    </cfRule>
    <cfRule type="containsText" dxfId="2" priority="25" operator="containsText" text="ข้าม">
      <formula>NOT(ISERROR(SEARCH("ข้าม",G20)))</formula>
    </cfRule>
  </conditionalFormatting>
  <conditionalFormatting sqref="G21">
    <cfRule type="containsText" dxfId="0" priority="26" operator="containsText" text="เสร็จแล้ว">
      <formula>NOT(ISERROR(SEARCH("เสร็จแล้ว",G21)))</formula>
    </cfRule>
    <cfRule type="containsText" dxfId="1" priority="27" operator="containsText" text="กำลังทำ">
      <formula>NOT(ISERROR(SEARCH("กำลังทำ",G21)))</formula>
    </cfRule>
    <cfRule type="containsText" dxfId="2" priority="28" operator="containsText" text="ข้าม">
      <formula>NOT(ISERROR(SEARCH("ข้าม",G21)))</formula>
    </cfRule>
  </conditionalFormatting>
  <conditionalFormatting sqref="G22">
    <cfRule type="containsText" dxfId="0" priority="29" operator="containsText" text="เสร็จแล้ว">
      <formula>NOT(ISERROR(SEARCH("เสร็จแล้ว",G22)))</formula>
    </cfRule>
    <cfRule type="containsText" dxfId="1" priority="30" operator="containsText" text="กำลังทำ">
      <formula>NOT(ISERROR(SEARCH("กำลังทำ",G22)))</formula>
    </cfRule>
    <cfRule type="containsText" dxfId="2" priority="31" operator="containsText" text="ข้าม">
      <formula>NOT(ISERROR(SEARCH("ข้าม",G22)))</formula>
    </cfRule>
  </conditionalFormatting>
  <conditionalFormatting sqref="G23">
    <cfRule type="containsText" dxfId="0" priority="32" operator="containsText" text="เสร็จแล้ว">
      <formula>NOT(ISERROR(SEARCH("เสร็จแล้ว",G23)))</formula>
    </cfRule>
    <cfRule type="containsText" dxfId="1" priority="33" operator="containsText" text="กำลังทำ">
      <formula>NOT(ISERROR(SEARCH("กำลังทำ",G23)))</formula>
    </cfRule>
    <cfRule type="containsText" dxfId="2" priority="34" operator="containsText" text="ข้าม">
      <formula>NOT(ISERROR(SEARCH("ข้าม",G23)))</formula>
    </cfRule>
  </conditionalFormatting>
  <conditionalFormatting sqref="G24">
    <cfRule type="containsText" dxfId="0" priority="35" operator="containsText" text="เสร็จแล้ว">
      <formula>NOT(ISERROR(SEARCH("เสร็จแล้ว",G24)))</formula>
    </cfRule>
    <cfRule type="containsText" dxfId="1" priority="36" operator="containsText" text="กำลังทำ">
      <formula>NOT(ISERROR(SEARCH("กำลังทำ",G24)))</formula>
    </cfRule>
    <cfRule type="containsText" dxfId="2" priority="37" operator="containsText" text="ข้าม">
      <formula>NOT(ISERROR(SEARCH("ข้าม",G24)))</formula>
    </cfRule>
  </conditionalFormatting>
  <conditionalFormatting sqref="G25">
    <cfRule type="containsText" dxfId="0" priority="38" operator="containsText" text="เสร็จแล้ว">
      <formula>NOT(ISERROR(SEARCH("เสร็จแล้ว",G25)))</formula>
    </cfRule>
    <cfRule type="containsText" dxfId="1" priority="39" operator="containsText" text="กำลังทำ">
      <formula>NOT(ISERROR(SEARCH("กำลังทำ",G25)))</formula>
    </cfRule>
    <cfRule type="containsText" dxfId="2" priority="40" operator="containsText" text="ข้าม">
      <formula>NOT(ISERROR(SEARCH("ข้าม",G25)))</formula>
    </cfRule>
  </conditionalFormatting>
  <conditionalFormatting sqref="G26">
    <cfRule type="containsText" dxfId="0" priority="41" operator="containsText" text="เสร็จแล้ว">
      <formula>NOT(ISERROR(SEARCH("เสร็จแล้ว",G26)))</formula>
    </cfRule>
    <cfRule type="containsText" dxfId="1" priority="42" operator="containsText" text="กำลังทำ">
      <formula>NOT(ISERROR(SEARCH("กำลังทำ",G26)))</formula>
    </cfRule>
    <cfRule type="containsText" dxfId="2" priority="43" operator="containsText" text="ข้าม">
      <formula>NOT(ISERROR(SEARCH("ข้าม",G26)))</formula>
    </cfRule>
  </conditionalFormatting>
  <conditionalFormatting sqref="G27">
    <cfRule type="containsText" dxfId="0" priority="44" operator="containsText" text="เสร็จแล้ว">
      <formula>NOT(ISERROR(SEARCH("เสร็จแล้ว",G27)))</formula>
    </cfRule>
    <cfRule type="containsText" dxfId="1" priority="45" operator="containsText" text="กำลังทำ">
      <formula>NOT(ISERROR(SEARCH("กำลังทำ",G27)))</formula>
    </cfRule>
    <cfRule type="containsText" dxfId="2" priority="46" operator="containsText" text="ข้าม">
      <formula>NOT(ISERROR(SEARCH("ข้าม",G27)))</formula>
    </cfRule>
  </conditionalFormatting>
  <conditionalFormatting sqref="G28">
    <cfRule type="containsText" dxfId="0" priority="47" operator="containsText" text="เสร็จแล้ว">
      <formula>NOT(ISERROR(SEARCH("เสร็จแล้ว",G28)))</formula>
    </cfRule>
    <cfRule type="containsText" dxfId="1" priority="48" operator="containsText" text="กำลังทำ">
      <formula>NOT(ISERROR(SEARCH("กำลังทำ",G28)))</formula>
    </cfRule>
    <cfRule type="containsText" dxfId="2" priority="49" operator="containsText" text="ข้าม">
      <formula>NOT(ISERROR(SEARCH("ข้าม",G28)))</formula>
    </cfRule>
  </conditionalFormatting>
  <conditionalFormatting sqref="G29">
    <cfRule type="containsText" dxfId="0" priority="50" operator="containsText" text="เสร็จแล้ว">
      <formula>NOT(ISERROR(SEARCH("เสร็จแล้ว",G29)))</formula>
    </cfRule>
    <cfRule type="containsText" dxfId="1" priority="51" operator="containsText" text="กำลังทำ">
      <formula>NOT(ISERROR(SEARCH("กำลังทำ",G29)))</formula>
    </cfRule>
    <cfRule type="containsText" dxfId="2" priority="52" operator="containsText" text="ข้าม">
      <formula>NOT(ISERROR(SEARCH("ข้าม",G29)))</formula>
    </cfRule>
  </conditionalFormatting>
  <conditionalFormatting sqref="G30">
    <cfRule type="containsText" dxfId="0" priority="53" operator="containsText" text="เสร็จแล้ว">
      <formula>NOT(ISERROR(SEARCH("เสร็จแล้ว",G30)))</formula>
    </cfRule>
    <cfRule type="containsText" dxfId="1" priority="54" operator="containsText" text="กำลังทำ">
      <formula>NOT(ISERROR(SEARCH("กำลังทำ",G30)))</formula>
    </cfRule>
    <cfRule type="containsText" dxfId="2" priority="55" operator="containsText" text="ข้าม">
      <formula>NOT(ISERROR(SEARCH("ข้าม",G30)))</formula>
    </cfRule>
  </conditionalFormatting>
  <conditionalFormatting sqref="G31">
    <cfRule type="containsText" dxfId="0" priority="56" operator="containsText" text="เสร็จแล้ว">
      <formula>NOT(ISERROR(SEARCH("เสร็จแล้ว",G31)))</formula>
    </cfRule>
    <cfRule type="containsText" dxfId="1" priority="57" operator="containsText" text="กำลังทำ">
      <formula>NOT(ISERROR(SEARCH("กำลังทำ",G31)))</formula>
    </cfRule>
    <cfRule type="containsText" dxfId="2" priority="58" operator="containsText" text="ข้าม">
      <formula>NOT(ISERROR(SEARCH("ข้าม",G31)))</formula>
    </cfRule>
  </conditionalFormatting>
  <conditionalFormatting sqref="G32">
    <cfRule type="containsText" dxfId="0" priority="59" operator="containsText" text="เสร็จแล้ว">
      <formula>NOT(ISERROR(SEARCH("เสร็จแล้ว",G32)))</formula>
    </cfRule>
    <cfRule type="containsText" dxfId="1" priority="60" operator="containsText" text="กำลังทำ">
      <formula>NOT(ISERROR(SEARCH("กำลังทำ",G32)))</formula>
    </cfRule>
    <cfRule type="containsText" dxfId="2" priority="61" operator="containsText" text="ข้าม">
      <formula>NOT(ISERROR(SEARCH("ข้าม",G32)))</formula>
    </cfRule>
  </conditionalFormatting>
  <conditionalFormatting sqref="G33">
    <cfRule type="containsText" dxfId="0" priority="62" operator="containsText" text="เสร็จแล้ว">
      <formula>NOT(ISERROR(SEARCH("เสร็จแล้ว",G33)))</formula>
    </cfRule>
    <cfRule type="containsText" dxfId="1" priority="63" operator="containsText" text="กำลังทำ">
      <formula>NOT(ISERROR(SEARCH("กำลังทำ",G33)))</formula>
    </cfRule>
    <cfRule type="containsText" dxfId="2" priority="64" operator="containsText" text="ข้าม">
      <formula>NOT(ISERROR(SEARCH("ข้าม",G33)))</formula>
    </cfRule>
  </conditionalFormatting>
  <conditionalFormatting sqref="G34">
    <cfRule type="containsText" dxfId="0" priority="65" operator="containsText" text="เสร็จแล้ว">
      <formula>NOT(ISERROR(SEARCH("เสร็จแล้ว",G34)))</formula>
    </cfRule>
    <cfRule type="containsText" dxfId="1" priority="66" operator="containsText" text="กำลังทำ">
      <formula>NOT(ISERROR(SEARCH("กำลังทำ",G34)))</formula>
    </cfRule>
    <cfRule type="containsText" dxfId="2" priority="67" operator="containsText" text="ข้าม">
      <formula>NOT(ISERROR(SEARCH("ข้าม",G34)))</formula>
    </cfRule>
  </conditionalFormatting>
  <conditionalFormatting sqref="G35">
    <cfRule type="containsText" dxfId="0" priority="68" operator="containsText" text="เสร็จแล้ว">
      <formula>NOT(ISERROR(SEARCH("เสร็จแล้ว",G35)))</formula>
    </cfRule>
    <cfRule type="containsText" dxfId="1" priority="69" operator="containsText" text="กำลังทำ">
      <formula>NOT(ISERROR(SEARCH("กำลังทำ",G35)))</formula>
    </cfRule>
    <cfRule type="containsText" dxfId="2" priority="70" operator="containsText" text="ข้าม">
      <formula>NOT(ISERROR(SEARCH("ข้าม",G35)))</formula>
    </cfRule>
  </conditionalFormatting>
  <conditionalFormatting sqref="G36">
    <cfRule type="containsText" dxfId="0" priority="71" operator="containsText" text="เสร็จแล้ว">
      <formula>NOT(ISERROR(SEARCH("เสร็จแล้ว",G36)))</formula>
    </cfRule>
    <cfRule type="containsText" dxfId="1" priority="72" operator="containsText" text="กำลังทำ">
      <formula>NOT(ISERROR(SEARCH("กำลังทำ",G36)))</formula>
    </cfRule>
    <cfRule type="containsText" dxfId="2" priority="73" operator="containsText" text="ข้าม">
      <formula>NOT(ISERROR(SEARCH("ข้าม",G36)))</formula>
    </cfRule>
  </conditionalFormatting>
  <conditionalFormatting sqref="G37">
    <cfRule type="containsText" dxfId="0" priority="74" operator="containsText" text="เสร็จแล้ว">
      <formula>NOT(ISERROR(SEARCH("เสร็จแล้ว",G37)))</formula>
    </cfRule>
    <cfRule type="containsText" dxfId="1" priority="75" operator="containsText" text="กำลังทำ">
      <formula>NOT(ISERROR(SEARCH("กำลังทำ",G37)))</formula>
    </cfRule>
    <cfRule type="containsText" dxfId="2" priority="76" operator="containsText" text="ข้าม">
      <formula>NOT(ISERROR(SEARCH("ข้าม",G37)))</formula>
    </cfRule>
  </conditionalFormatting>
  <conditionalFormatting sqref="G38">
    <cfRule type="containsText" dxfId="0" priority="77" operator="containsText" text="เสร็จแล้ว">
      <formula>NOT(ISERROR(SEARCH("เสร็จแล้ว",G38)))</formula>
    </cfRule>
    <cfRule type="containsText" dxfId="1" priority="78" operator="containsText" text="กำลังทำ">
      <formula>NOT(ISERROR(SEARCH("กำลังทำ",G38)))</formula>
    </cfRule>
    <cfRule type="containsText" dxfId="2" priority="79" operator="containsText" text="ข้าม">
      <formula>NOT(ISERROR(SEARCH("ข้าม",G38)))</formula>
    </cfRule>
  </conditionalFormatting>
  <conditionalFormatting sqref="G39">
    <cfRule type="containsText" dxfId="0" priority="80" operator="containsText" text="เสร็จแล้ว">
      <formula>NOT(ISERROR(SEARCH("เสร็จแล้ว",G39)))</formula>
    </cfRule>
    <cfRule type="containsText" dxfId="1" priority="81" operator="containsText" text="กำลังทำ">
      <formula>NOT(ISERROR(SEARCH("กำลังทำ",G39)))</formula>
    </cfRule>
    <cfRule type="containsText" dxfId="2" priority="82" operator="containsText" text="ข้าม">
      <formula>NOT(ISERROR(SEARCH("ข้าม",G39)))</formula>
    </cfRule>
  </conditionalFormatting>
  <conditionalFormatting sqref="G40">
    <cfRule type="containsText" dxfId="0" priority="83" operator="containsText" text="เสร็จแล้ว">
      <formula>NOT(ISERROR(SEARCH("เสร็จแล้ว",G40)))</formula>
    </cfRule>
    <cfRule type="containsText" dxfId="1" priority="84" operator="containsText" text="กำลังทำ">
      <formula>NOT(ISERROR(SEARCH("กำลังทำ",G40)))</formula>
    </cfRule>
    <cfRule type="containsText" dxfId="2" priority="85" operator="containsText" text="ข้าม">
      <formula>NOT(ISERROR(SEARCH("ข้าม",G40)))</formula>
    </cfRule>
  </conditionalFormatting>
  <dataValidations count="28">
    <dataValidation type="list" allowBlank="1" showInputMessage="1" showErrorMessage="1" sqref="G13">
      <formula1>"ยังไม่เริ่ม,กำลังทำ,เสร็จแล้ว,ข้าม"</formula1>
    </dataValidation>
    <dataValidation type="list" allowBlank="1" showInputMessage="1" showErrorMessage="1" sqref="G14">
      <formula1>"ยังไม่เริ่ม,กำลังทำ,เสร็จแล้ว,ข้าม"</formula1>
    </dataValidation>
    <dataValidation type="list" allowBlank="1" showInputMessage="1" showErrorMessage="1" sqref="G15">
      <formula1>"ยังไม่เริ่ม,กำลังทำ,เสร็จแล้ว,ข้าม"</formula1>
    </dataValidation>
    <dataValidation type="list" allowBlank="1" showInputMessage="1" showErrorMessage="1" sqref="G16">
      <formula1>"ยังไม่เริ่ม,กำลังทำ,เสร็จแล้ว,ข้าม"</formula1>
    </dataValidation>
    <dataValidation type="list" allowBlank="1" showInputMessage="1" showErrorMessage="1" sqref="G17">
      <formula1>"ยังไม่เริ่ม,กำลังทำ,เสร็จแล้ว,ข้าม"</formula1>
    </dataValidation>
    <dataValidation type="list" allowBlank="1" showInputMessage="1" showErrorMessage="1" sqref="G18">
      <formula1>"ยังไม่เริ่ม,กำลังทำ,เสร็จแล้ว,ข้าม"</formula1>
    </dataValidation>
    <dataValidation type="list" allowBlank="1" showInputMessage="1" showErrorMessage="1" sqref="G19">
      <formula1>"ยังไม่เริ่ม,กำลังทำ,เสร็จแล้ว,ข้าม"</formula1>
    </dataValidation>
    <dataValidation type="list" allowBlank="1" showInputMessage="1" showErrorMessage="1" sqref="G20">
      <formula1>"ยังไม่เริ่ม,กำลังทำ,เสร็จแล้ว,ข้าม"</formula1>
    </dataValidation>
    <dataValidation type="list" allowBlank="1" showInputMessage="1" showErrorMessage="1" sqref="G21">
      <formula1>"ยังไม่เริ่ม,กำลังทำ,เสร็จแล้ว,ข้าม"</formula1>
    </dataValidation>
    <dataValidation type="list" allowBlank="1" showInputMessage="1" showErrorMessage="1" sqref="G22">
      <formula1>"ยังไม่เริ่ม,กำลังทำ,เสร็จแล้ว,ข้าม"</formula1>
    </dataValidation>
    <dataValidation type="list" allowBlank="1" showInputMessage="1" showErrorMessage="1" sqref="G23">
      <formula1>"ยังไม่เริ่ม,กำลังทำ,เสร็จแล้ว,ข้าม"</formula1>
    </dataValidation>
    <dataValidation type="list" allowBlank="1" showInputMessage="1" showErrorMessage="1" sqref="G24">
      <formula1>"ยังไม่เริ่ม,กำลังทำ,เสร็จแล้ว,ข้าม"</formula1>
    </dataValidation>
    <dataValidation type="list" allowBlank="1" showInputMessage="1" showErrorMessage="1" sqref="G25">
      <formula1>"ยังไม่เริ่ม,กำลังทำ,เสร็จแล้ว,ข้าม"</formula1>
    </dataValidation>
    <dataValidation type="list" allowBlank="1" showInputMessage="1" showErrorMessage="1" sqref="G26">
      <formula1>"ยังไม่เริ่ม,กำลังทำ,เสร็จแล้ว,ข้าม"</formula1>
    </dataValidation>
    <dataValidation type="list" allowBlank="1" showInputMessage="1" showErrorMessage="1" sqref="G27">
      <formula1>"ยังไม่เริ่ม,กำลังทำ,เสร็จแล้ว,ข้าม"</formula1>
    </dataValidation>
    <dataValidation type="list" allowBlank="1" showInputMessage="1" showErrorMessage="1" sqref="G28">
      <formula1>"ยังไม่เริ่ม,กำลังทำ,เสร็จแล้ว,ข้าม"</formula1>
    </dataValidation>
    <dataValidation type="list" allowBlank="1" showInputMessage="1" showErrorMessage="1" sqref="G29">
      <formula1>"ยังไม่เริ่ม,กำลังทำ,เสร็จแล้ว,ข้าม"</formula1>
    </dataValidation>
    <dataValidation type="list" allowBlank="1" showInputMessage="1" showErrorMessage="1" sqref="G30">
      <formula1>"ยังไม่เริ่ม,กำลังทำ,เสร็จแล้ว,ข้าม"</formula1>
    </dataValidation>
    <dataValidation type="list" allowBlank="1" showInputMessage="1" showErrorMessage="1" sqref="G31">
      <formula1>"ยังไม่เริ่ม,กำลังทำ,เสร็จแล้ว,ข้าม"</formula1>
    </dataValidation>
    <dataValidation type="list" allowBlank="1" showInputMessage="1" showErrorMessage="1" sqref="G32">
      <formula1>"ยังไม่เริ่ม,กำลังทำ,เสร็จแล้ว,ข้าม"</formula1>
    </dataValidation>
    <dataValidation type="list" allowBlank="1" showInputMessage="1" showErrorMessage="1" sqref="G33">
      <formula1>"ยังไม่เริ่ม,กำลังทำ,เสร็จแล้ว,ข้าม"</formula1>
    </dataValidation>
    <dataValidation type="list" allowBlank="1" showInputMessage="1" showErrorMessage="1" sqref="G34">
      <formula1>"ยังไม่เริ่ม,กำลังทำ,เสร็จแล้ว,ข้าม"</formula1>
    </dataValidation>
    <dataValidation type="list" allowBlank="1" showInputMessage="1" showErrorMessage="1" sqref="G35">
      <formula1>"ยังไม่เริ่ม,กำลังทำ,เสร็จแล้ว,ข้าม"</formula1>
    </dataValidation>
    <dataValidation type="list" allowBlank="1" showInputMessage="1" showErrorMessage="1" sqref="G36">
      <formula1>"ยังไม่เริ่ม,กำลังทำ,เสร็จแล้ว,ข้าม"</formula1>
    </dataValidation>
    <dataValidation type="list" allowBlank="1" showInputMessage="1" showErrorMessage="1" sqref="G37">
      <formula1>"ยังไม่เริ่ม,กำลังทำ,เสร็จแล้ว,ข้าม"</formula1>
    </dataValidation>
    <dataValidation type="list" allowBlank="1" showInputMessage="1" showErrorMessage="1" sqref="G38">
      <formula1>"ยังไม่เริ่ม,กำลังทำ,เสร็จแล้ว,ข้าม"</formula1>
    </dataValidation>
    <dataValidation type="list" allowBlank="1" showInputMessage="1" showErrorMessage="1" sqref="G39">
      <formula1>"ยังไม่เริ่ม,กำลังทำ,เสร็จแล้ว,ข้าม"</formula1>
    </dataValidation>
    <dataValidation type="list" allowBlank="1" showInputMessage="1" showErrorMessage="1" sqref="G40">
      <formula1>"ยังไม่เริ่ม,กำลังทำ,เสร็จแล้ว,ข้าม"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9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CAF50"/>
              <x14:negativeFillColor rgb="FFFF0000"/>
              <x14:negativeBorderColor rgb="FFFF0000"/>
              <x14:axisColor rgb="FF000000"/>
            </x14:dataBar>
          </x14:cfRule>
          <xm:sqref>C9:G9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dimension ref="B2:D17"/>
  <sheetViews>
    <sheetView showGridLines="0" workbookViewId="0"/>
  </sheetViews>
  <sheetFormatPr defaultRowHeight="15"/>
  <cols>
    <col min="1" max="1" width="3.7109375" customWidth="1"/>
    <col min="2" max="2" width="14.7109375" customWidth="1"/>
    <col min="3" max="3" width="58.7109375" customWidth="1"/>
    <col min="4" max="4" width="44.7109375" customWidth="1"/>
  </cols>
  <sheetData>
    <row r="2" spans="2:4" ht="32" customHeight="1">
      <c r="B2" s="70" t="s">
        <v>461</v>
      </c>
      <c r="C2" s="70"/>
      <c r="D2" s="70"/>
    </row>
    <row r="3" spans="2:4" ht="20" customHeight="1">
      <c r="B3" s="2" t="s">
        <v>462</v>
      </c>
      <c r="C3" s="2"/>
      <c r="D3" s="2"/>
    </row>
    <row r="5" spans="2:4">
      <c r="B5" s="71" t="s">
        <v>463</v>
      </c>
      <c r="C5" s="66" t="s">
        <v>384</v>
      </c>
    </row>
    <row r="7" spans="2:4" ht="24" customHeight="1">
      <c r="B7" s="3" t="s">
        <v>464</v>
      </c>
      <c r="C7" s="3"/>
      <c r="D7" s="3"/>
    </row>
    <row r="8" spans="2:4" ht="58" customHeight="1">
      <c r="B8" s="72" t="s">
        <v>465</v>
      </c>
      <c r="C8" s="72"/>
      <c r="D8" s="72"/>
    </row>
    <row r="10" spans="2:4" ht="24" customHeight="1">
      <c r="B10" s="3" t="s">
        <v>466</v>
      </c>
      <c r="C10" s="3"/>
      <c r="D10" s="3"/>
    </row>
    <row r="11" spans="2:4" ht="26" customHeight="1">
      <c r="B11" s="73" t="s">
        <v>467</v>
      </c>
      <c r="C11" s="73" t="s">
        <v>468</v>
      </c>
      <c r="D11" s="73" t="s">
        <v>469</v>
      </c>
    </row>
    <row r="12" spans="2:4" ht="40" customHeight="1">
      <c r="B12" s="14" t="s">
        <v>470</v>
      </c>
      <c r="C12" s="14" t="s">
        <v>471</v>
      </c>
      <c r="D12" s="14" t="s">
        <v>472</v>
      </c>
    </row>
    <row r="13" spans="2:4" ht="40" customHeight="1">
      <c r="B13" s="17" t="s">
        <v>473</v>
      </c>
      <c r="C13" s="17" t="s">
        <v>474</v>
      </c>
      <c r="D13" s="17" t="s">
        <v>475</v>
      </c>
    </row>
    <row r="14" spans="2:4" ht="40" customHeight="1">
      <c r="B14" s="14" t="s">
        <v>476</v>
      </c>
      <c r="C14" s="14" t="s">
        <v>477</v>
      </c>
      <c r="D14" s="14" t="s">
        <v>478</v>
      </c>
    </row>
    <row r="15" spans="2:4" ht="40" customHeight="1">
      <c r="B15" s="17" t="s">
        <v>479</v>
      </c>
      <c r="C15" s="17" t="s">
        <v>480</v>
      </c>
      <c r="D15" s="17" t="s">
        <v>481</v>
      </c>
    </row>
    <row r="16" spans="2:4" ht="40" customHeight="1">
      <c r="B16" s="14" t="s">
        <v>482</v>
      </c>
      <c r="C16" s="14" t="s">
        <v>483</v>
      </c>
      <c r="D16" s="14" t="s">
        <v>484</v>
      </c>
    </row>
    <row r="17" spans="2:4" ht="40" customHeight="1">
      <c r="B17" s="17" t="s">
        <v>485</v>
      </c>
      <c r="C17" s="17" t="s">
        <v>486</v>
      </c>
      <c r="D17" s="17" t="s">
        <v>487</v>
      </c>
    </row>
  </sheetData>
  <mergeCells count="5">
    <mergeCell ref="B2:D2"/>
    <mergeCell ref="B3:D3"/>
    <mergeCell ref="B7:D7"/>
    <mergeCell ref="B8:D8"/>
    <mergeCell ref="B10:D10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2:G18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8.7109375" customWidth="1"/>
    <col min="4" max="4" width="22.7109375" customWidth="1"/>
    <col min="5" max="5" width="12.7109375" customWidth="1"/>
    <col min="6" max="6" width="34.7109375" customWidth="1"/>
    <col min="7" max="7" width="22.7109375" customWidth="1"/>
  </cols>
  <sheetData>
    <row r="2" spans="2:7" ht="32" customHeight="1">
      <c r="B2" s="74" t="s">
        <v>488</v>
      </c>
      <c r="C2" s="74"/>
      <c r="D2" s="74"/>
      <c r="E2" s="74"/>
      <c r="F2" s="74"/>
      <c r="G2" s="74"/>
    </row>
    <row r="3" spans="2:7" ht="20" customHeight="1">
      <c r="B3" s="2" t="s">
        <v>489</v>
      </c>
      <c r="C3" s="2"/>
      <c r="D3" s="2"/>
      <c r="E3" s="2"/>
      <c r="F3" s="2"/>
      <c r="G3" s="2"/>
    </row>
    <row r="5" spans="2:7">
      <c r="B5" s="71" t="s">
        <v>463</v>
      </c>
      <c r="C5" s="66" t="s">
        <v>384</v>
      </c>
    </row>
    <row r="7" spans="2:7" ht="26" customHeight="1">
      <c r="B7" s="75" t="s">
        <v>490</v>
      </c>
      <c r="C7" s="75" t="s">
        <v>491</v>
      </c>
      <c r="D7" s="75" t="s">
        <v>492</v>
      </c>
      <c r="E7" s="75" t="s">
        <v>493</v>
      </c>
      <c r="F7" s="75" t="s">
        <v>494</v>
      </c>
      <c r="G7" s="75" t="s">
        <v>495</v>
      </c>
    </row>
    <row r="8" spans="2:7" ht="50" customHeight="1">
      <c r="B8" s="14" t="s">
        <v>496</v>
      </c>
      <c r="C8" s="14" t="s">
        <v>497</v>
      </c>
      <c r="D8" s="14" t="s">
        <v>498</v>
      </c>
      <c r="E8" s="76" t="s">
        <v>499</v>
      </c>
      <c r="F8" s="14" t="s">
        <v>500</v>
      </c>
      <c r="G8" s="14" t="s">
        <v>501</v>
      </c>
    </row>
    <row r="9" spans="2:7" ht="50" customHeight="1">
      <c r="B9" s="17" t="s">
        <v>502</v>
      </c>
      <c r="C9" s="17" t="s">
        <v>503</v>
      </c>
      <c r="D9" s="17" t="s">
        <v>504</v>
      </c>
      <c r="E9" s="77" t="s">
        <v>499</v>
      </c>
      <c r="F9" s="17" t="s">
        <v>505</v>
      </c>
      <c r="G9" s="17" t="s">
        <v>506</v>
      </c>
    </row>
    <row r="10" spans="2:7" ht="50" customHeight="1">
      <c r="B10" s="14" t="s">
        <v>507</v>
      </c>
      <c r="C10" s="14" t="s">
        <v>508</v>
      </c>
      <c r="D10" s="14" t="s">
        <v>509</v>
      </c>
      <c r="E10" s="76" t="s">
        <v>499</v>
      </c>
      <c r="F10" s="14" t="s">
        <v>510</v>
      </c>
      <c r="G10" s="14" t="s">
        <v>501</v>
      </c>
    </row>
    <row r="11" spans="2:7" ht="50" customHeight="1">
      <c r="B11" s="17" t="s">
        <v>511</v>
      </c>
      <c r="C11" s="17" t="s">
        <v>512</v>
      </c>
      <c r="D11" s="17" t="s">
        <v>513</v>
      </c>
      <c r="E11" s="77" t="s">
        <v>514</v>
      </c>
      <c r="F11" s="17" t="s">
        <v>515</v>
      </c>
      <c r="G11" s="17" t="s">
        <v>516</v>
      </c>
    </row>
    <row r="12" spans="2:7" ht="50" customHeight="1">
      <c r="B12" s="14" t="s">
        <v>517</v>
      </c>
      <c r="C12" s="14" t="s">
        <v>518</v>
      </c>
      <c r="D12" s="14" t="s">
        <v>519</v>
      </c>
      <c r="E12" s="76" t="s">
        <v>520</v>
      </c>
      <c r="F12" s="14" t="s">
        <v>521</v>
      </c>
      <c r="G12" s="14" t="s">
        <v>522</v>
      </c>
    </row>
    <row r="13" spans="2:7" ht="50" customHeight="1">
      <c r="B13" s="17" t="s">
        <v>523</v>
      </c>
      <c r="C13" s="17" t="s">
        <v>524</v>
      </c>
      <c r="D13" s="17" t="s">
        <v>525</v>
      </c>
      <c r="E13" s="77" t="s">
        <v>520</v>
      </c>
      <c r="F13" s="17" t="s">
        <v>526</v>
      </c>
      <c r="G13" s="17" t="s">
        <v>522</v>
      </c>
    </row>
    <row r="14" spans="2:7" ht="50" customHeight="1">
      <c r="B14" s="14" t="s">
        <v>527</v>
      </c>
      <c r="C14" s="14" t="s">
        <v>528</v>
      </c>
      <c r="D14" s="14" t="s">
        <v>529</v>
      </c>
      <c r="E14" s="76" t="s">
        <v>520</v>
      </c>
      <c r="F14" s="14" t="s">
        <v>530</v>
      </c>
      <c r="G14" s="14" t="s">
        <v>531</v>
      </c>
    </row>
    <row r="15" spans="2:7" ht="50" customHeight="1">
      <c r="B15" s="17" t="s">
        <v>532</v>
      </c>
      <c r="C15" s="17" t="s">
        <v>533</v>
      </c>
      <c r="D15" s="17" t="s">
        <v>534</v>
      </c>
      <c r="E15" s="77" t="s">
        <v>535</v>
      </c>
      <c r="F15" s="17" t="s">
        <v>536</v>
      </c>
      <c r="G15" s="17" t="s">
        <v>537</v>
      </c>
    </row>
    <row r="16" spans="2:7" ht="50" customHeight="1">
      <c r="B16" s="14" t="s">
        <v>538</v>
      </c>
      <c r="C16" s="14" t="s">
        <v>539</v>
      </c>
      <c r="D16" s="14" t="s">
        <v>540</v>
      </c>
      <c r="E16" s="76" t="s">
        <v>535</v>
      </c>
      <c r="F16" s="14" t="s">
        <v>541</v>
      </c>
      <c r="G16" s="14" t="s">
        <v>542</v>
      </c>
    </row>
    <row r="17" spans="2:7" ht="50" customHeight="1">
      <c r="B17" s="17" t="s">
        <v>543</v>
      </c>
      <c r="C17" s="17" t="s">
        <v>544</v>
      </c>
      <c r="D17" s="17" t="s">
        <v>545</v>
      </c>
      <c r="E17" s="77" t="s">
        <v>546</v>
      </c>
      <c r="F17" s="17" t="s">
        <v>547</v>
      </c>
      <c r="G17" s="17" t="s">
        <v>548</v>
      </c>
    </row>
    <row r="18" spans="2:7" ht="50" customHeight="1">
      <c r="B18" s="14" t="s">
        <v>549</v>
      </c>
      <c r="C18" s="14" t="s">
        <v>550</v>
      </c>
      <c r="D18" s="14" t="s">
        <v>551</v>
      </c>
      <c r="E18" s="76" t="s">
        <v>552</v>
      </c>
      <c r="F18" s="14" t="s">
        <v>553</v>
      </c>
      <c r="G18" s="14" t="s">
        <v>501</v>
      </c>
    </row>
  </sheetData>
  <mergeCells count="2">
    <mergeCell ref="B2:G2"/>
    <mergeCell ref="B3:G3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2:D13"/>
  <sheetViews>
    <sheetView showGridLines="0" workbookViewId="0"/>
  </sheetViews>
  <sheetFormatPr defaultRowHeight="15"/>
  <cols>
    <col min="1" max="1" width="3.7109375" customWidth="1"/>
    <col min="2" max="2" width="34.7109375" customWidth="1"/>
    <col min="3" max="3" width="40.7109375" customWidth="1"/>
    <col min="4" max="4" width="46.7109375" customWidth="1"/>
  </cols>
  <sheetData>
    <row r="2" spans="2:4" ht="32" customHeight="1">
      <c r="B2" s="78" t="s">
        <v>554</v>
      </c>
      <c r="C2" s="78"/>
      <c r="D2" s="78"/>
    </row>
    <row r="3" spans="2:4" ht="20" customHeight="1">
      <c r="B3" s="2" t="s">
        <v>555</v>
      </c>
      <c r="C3" s="2"/>
      <c r="D3" s="2"/>
    </row>
    <row r="5" spans="2:4">
      <c r="B5" s="71" t="s">
        <v>463</v>
      </c>
      <c r="C5" s="66" t="s">
        <v>384</v>
      </c>
    </row>
    <row r="7" spans="2:4" ht="26" customHeight="1">
      <c r="B7" s="79" t="s">
        <v>556</v>
      </c>
      <c r="C7" s="79" t="s">
        <v>557</v>
      </c>
      <c r="D7" s="79" t="s">
        <v>558</v>
      </c>
    </row>
    <row r="8" spans="2:4" ht="42" customHeight="1">
      <c r="B8" s="14" t="s">
        <v>559</v>
      </c>
      <c r="C8" s="14" t="s">
        <v>560</v>
      </c>
      <c r="D8" s="14" t="s">
        <v>561</v>
      </c>
    </row>
    <row r="9" spans="2:4" ht="42" customHeight="1">
      <c r="B9" s="17" t="s">
        <v>562</v>
      </c>
      <c r="C9" s="17" t="s">
        <v>563</v>
      </c>
      <c r="D9" s="17" t="s">
        <v>564</v>
      </c>
    </row>
    <row r="10" spans="2:4" ht="42" customHeight="1">
      <c r="B10" s="14" t="s">
        <v>565</v>
      </c>
      <c r="C10" s="14" t="s">
        <v>566</v>
      </c>
      <c r="D10" s="14" t="s">
        <v>567</v>
      </c>
    </row>
    <row r="11" spans="2:4" ht="42" customHeight="1">
      <c r="B11" s="17" t="s">
        <v>568</v>
      </c>
      <c r="C11" s="17" t="s">
        <v>569</v>
      </c>
      <c r="D11" s="17" t="s">
        <v>570</v>
      </c>
    </row>
    <row r="12" spans="2:4" ht="42" customHeight="1">
      <c r="B12" s="14" t="s">
        <v>545</v>
      </c>
      <c r="C12" s="14" t="s">
        <v>571</v>
      </c>
      <c r="D12" s="14" t="s">
        <v>572</v>
      </c>
    </row>
    <row r="13" spans="2:4" ht="42" customHeight="1">
      <c r="B13" s="17" t="s">
        <v>573</v>
      </c>
      <c r="C13" s="17" t="s">
        <v>574</v>
      </c>
      <c r="D13" s="17" t="s">
        <v>575</v>
      </c>
    </row>
  </sheetData>
  <mergeCells count="2">
    <mergeCell ref="B2:D2"/>
    <mergeCell ref="B3:D3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2:D11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3" width="54.7109375" customWidth="1"/>
    <col min="4" max="4" width="44.7109375" customWidth="1"/>
  </cols>
  <sheetData>
    <row r="2" spans="2:4" ht="32" customHeight="1">
      <c r="B2" s="70" t="s">
        <v>576</v>
      </c>
      <c r="C2" s="70"/>
      <c r="D2" s="70"/>
    </row>
    <row r="3" spans="2:4" ht="20" customHeight="1">
      <c r="B3" s="2" t="s">
        <v>577</v>
      </c>
      <c r="C3" s="2"/>
      <c r="D3" s="2"/>
    </row>
    <row r="5" spans="2:4">
      <c r="B5" s="71" t="s">
        <v>463</v>
      </c>
      <c r="C5" s="66" t="s">
        <v>384</v>
      </c>
    </row>
    <row r="7" spans="2:4" ht="26" customHeight="1">
      <c r="B7" s="73" t="s">
        <v>578</v>
      </c>
      <c r="C7" s="73" t="s">
        <v>579</v>
      </c>
      <c r="D7" s="73" t="s">
        <v>580</v>
      </c>
    </row>
    <row r="8" spans="2:4" ht="42" customHeight="1">
      <c r="B8" s="14" t="s">
        <v>581</v>
      </c>
      <c r="C8" s="14" t="s">
        <v>582</v>
      </c>
      <c r="D8" s="14" t="s">
        <v>583</v>
      </c>
    </row>
    <row r="9" spans="2:4" ht="42" customHeight="1">
      <c r="B9" s="17" t="s">
        <v>584</v>
      </c>
      <c r="C9" s="17" t="s">
        <v>585</v>
      </c>
      <c r="D9" s="17" t="s">
        <v>586</v>
      </c>
    </row>
    <row r="10" spans="2:4" ht="42" customHeight="1">
      <c r="B10" s="14" t="s">
        <v>587</v>
      </c>
      <c r="C10" s="14" t="s">
        <v>588</v>
      </c>
      <c r="D10" s="14" t="s">
        <v>589</v>
      </c>
    </row>
    <row r="11" spans="2:4" ht="42" customHeight="1">
      <c r="B11" s="17" t="s">
        <v>590</v>
      </c>
      <c r="C11" s="17" t="s">
        <v>591</v>
      </c>
      <c r="D11" s="17" t="s">
        <v>592</v>
      </c>
    </row>
  </sheetData>
  <mergeCells count="2">
    <mergeCell ref="B2:D2"/>
    <mergeCell ref="B3:D3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2:C16"/>
  <sheetViews>
    <sheetView showGridLines="0" workbookViewId="0"/>
  </sheetViews>
  <sheetFormatPr defaultRowHeight="15"/>
  <cols>
    <col min="1" max="1" width="3.7109375" customWidth="1"/>
    <col min="2" max="2" width="22.7109375" customWidth="1"/>
    <col min="3" max="3" width="70.7109375" customWidth="1"/>
  </cols>
  <sheetData>
    <row r="2" spans="2:3" ht="32" customHeight="1">
      <c r="B2" s="80" t="s">
        <v>593</v>
      </c>
      <c r="C2" s="80"/>
    </row>
    <row r="3" spans="2:3" ht="20" customHeight="1">
      <c r="B3" s="2" t="s">
        <v>594</v>
      </c>
      <c r="C3" s="2"/>
    </row>
    <row r="5" spans="2:3">
      <c r="B5" s="71" t="s">
        <v>463</v>
      </c>
      <c r="C5" s="66" t="s">
        <v>384</v>
      </c>
    </row>
    <row r="7" spans="2:3" ht="24" customHeight="1">
      <c r="B7" s="45" t="s">
        <v>595</v>
      </c>
      <c r="C7" s="45"/>
    </row>
    <row r="8" spans="2:3" ht="26" customHeight="1">
      <c r="B8" s="81" t="s">
        <v>596</v>
      </c>
      <c r="C8" s="81" t="s">
        <v>597</v>
      </c>
    </row>
    <row r="9" spans="2:3" ht="30" customHeight="1">
      <c r="B9" s="14" t="s">
        <v>598</v>
      </c>
      <c r="C9" s="14" t="s">
        <v>599</v>
      </c>
    </row>
    <row r="10" spans="2:3" ht="30" customHeight="1">
      <c r="B10" s="17" t="s">
        <v>600</v>
      </c>
      <c r="C10" s="17" t="s">
        <v>601</v>
      </c>
    </row>
    <row r="11" spans="2:3" ht="30" customHeight="1">
      <c r="B11" s="14" t="s">
        <v>602</v>
      </c>
      <c r="C11" s="14" t="s">
        <v>603</v>
      </c>
    </row>
    <row r="12" spans="2:3" ht="30" customHeight="1">
      <c r="B12" s="17" t="s">
        <v>604</v>
      </c>
      <c r="C12" s="17" t="s">
        <v>605</v>
      </c>
    </row>
    <row r="13" spans="2:3" ht="30" customHeight="1">
      <c r="B13" s="14" t="s">
        <v>606</v>
      </c>
      <c r="C13" s="14" t="s">
        <v>607</v>
      </c>
    </row>
    <row r="14" spans="2:3" ht="30" customHeight="1">
      <c r="B14" s="17" t="s">
        <v>608</v>
      </c>
      <c r="C14" s="17" t="s">
        <v>609</v>
      </c>
    </row>
    <row r="16" spans="2:3" ht="44" customHeight="1">
      <c r="B16" s="82" t="s">
        <v>610</v>
      </c>
      <c r="C16" s="82"/>
    </row>
  </sheetData>
  <mergeCells count="4">
    <mergeCell ref="B2:C2"/>
    <mergeCell ref="B3:C3"/>
    <mergeCell ref="B7:C7"/>
    <mergeCell ref="B16:C16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2:C17"/>
  <sheetViews>
    <sheetView showGridLines="0" workbookViewId="0"/>
  </sheetViews>
  <sheetFormatPr defaultRowHeight="15"/>
  <cols>
    <col min="1" max="1" width="3.7109375" customWidth="1"/>
    <col min="2" max="2" width="22.7109375" customWidth="1"/>
    <col min="3" max="3" width="70.7109375" customWidth="1"/>
  </cols>
  <sheetData>
    <row r="2" spans="2:3" ht="32" customHeight="1">
      <c r="B2" s="78" t="s">
        <v>611</v>
      </c>
      <c r="C2" s="78"/>
    </row>
    <row r="3" spans="2:3" ht="20" customHeight="1">
      <c r="B3" s="2" t="s">
        <v>612</v>
      </c>
      <c r="C3" s="2"/>
    </row>
    <row r="5" spans="2:3">
      <c r="B5" s="71" t="s">
        <v>463</v>
      </c>
      <c r="C5" s="66" t="s">
        <v>384</v>
      </c>
    </row>
    <row r="7" spans="2:3" ht="30" customHeight="1">
      <c r="B7" s="20" t="s">
        <v>613</v>
      </c>
      <c r="C7" s="20"/>
    </row>
    <row r="9" spans="2:3" ht="24" customHeight="1">
      <c r="B9" s="22" t="s">
        <v>614</v>
      </c>
      <c r="C9" s="22"/>
    </row>
    <row r="10" spans="2:3" ht="26" customHeight="1">
      <c r="B10" s="79" t="s">
        <v>596</v>
      </c>
      <c r="C10" s="79" t="s">
        <v>597</v>
      </c>
    </row>
    <row r="11" spans="2:3" ht="32" customHeight="1">
      <c r="B11" s="14" t="s">
        <v>615</v>
      </c>
      <c r="C11" s="14" t="s">
        <v>616</v>
      </c>
    </row>
    <row r="12" spans="2:3" ht="32" customHeight="1">
      <c r="B12" s="17" t="s">
        <v>617</v>
      </c>
      <c r="C12" s="17" t="s">
        <v>618</v>
      </c>
    </row>
    <row r="13" spans="2:3" ht="32" customHeight="1">
      <c r="B13" s="14" t="s">
        <v>619</v>
      </c>
      <c r="C13" s="14" t="s">
        <v>620</v>
      </c>
    </row>
    <row r="14" spans="2:3" ht="32" customHeight="1">
      <c r="B14" s="17" t="s">
        <v>621</v>
      </c>
      <c r="C14" s="17" t="s">
        <v>622</v>
      </c>
    </row>
    <row r="15" spans="2:3" ht="32" customHeight="1">
      <c r="B15" s="14" t="s">
        <v>623</v>
      </c>
      <c r="C15" s="14" t="s">
        <v>624</v>
      </c>
    </row>
    <row r="17" spans="2:3" ht="40" customHeight="1">
      <c r="B17" s="72" t="s">
        <v>625</v>
      </c>
      <c r="C17" s="72"/>
    </row>
  </sheetData>
  <mergeCells count="5">
    <mergeCell ref="B2:C2"/>
    <mergeCell ref="B3:C3"/>
    <mergeCell ref="B7:C7"/>
    <mergeCell ref="B9:C9"/>
    <mergeCell ref="B17:C17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2:H15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7" width="11.7109375" customWidth="1"/>
    <col min="8" max="8" width="30.7109375" customWidth="1"/>
  </cols>
  <sheetData>
    <row r="2" spans="2:8" ht="32" customHeight="1">
      <c r="B2" s="74" t="s">
        <v>626</v>
      </c>
      <c r="C2" s="74"/>
      <c r="D2" s="74"/>
      <c r="E2" s="74"/>
      <c r="F2" s="74"/>
      <c r="G2" s="74"/>
      <c r="H2" s="74"/>
    </row>
    <row r="3" spans="2:8" ht="20" customHeight="1">
      <c r="B3" s="2" t="s">
        <v>627</v>
      </c>
      <c r="C3" s="2"/>
      <c r="D3" s="2"/>
      <c r="E3" s="2"/>
      <c r="F3" s="2"/>
      <c r="G3" s="2"/>
      <c r="H3" s="2"/>
    </row>
    <row r="5" spans="2:8">
      <c r="B5" s="71" t="s">
        <v>463</v>
      </c>
      <c r="C5" s="66" t="s">
        <v>384</v>
      </c>
    </row>
    <row r="7" spans="2:8" ht="26" customHeight="1">
      <c r="B7" s="75" t="s">
        <v>628</v>
      </c>
      <c r="C7" s="75" t="s">
        <v>629</v>
      </c>
      <c r="D7" s="75" t="s">
        <v>35</v>
      </c>
      <c r="E7" s="75" t="s">
        <v>517</v>
      </c>
      <c r="F7" s="75" t="s">
        <v>630</v>
      </c>
      <c r="G7" s="75" t="s">
        <v>631</v>
      </c>
      <c r="H7" s="75" t="s">
        <v>632</v>
      </c>
    </row>
    <row r="8" spans="2:8" ht="26" customHeight="1">
      <c r="B8" s="14" t="s">
        <v>581</v>
      </c>
      <c r="C8" s="76" t="s">
        <v>314</v>
      </c>
      <c r="D8" s="76" t="s">
        <v>633</v>
      </c>
      <c r="E8" s="76" t="s">
        <v>314</v>
      </c>
      <c r="F8" s="76" t="s">
        <v>314</v>
      </c>
      <c r="G8" s="76" t="s">
        <v>314</v>
      </c>
      <c r="H8" s="76" t="s">
        <v>470</v>
      </c>
    </row>
    <row r="9" spans="2:8" ht="26" customHeight="1">
      <c r="B9" s="17" t="s">
        <v>584</v>
      </c>
      <c r="C9" s="77" t="s">
        <v>633</v>
      </c>
      <c r="D9" s="77" t="s">
        <v>314</v>
      </c>
      <c r="E9" s="77" t="s">
        <v>314</v>
      </c>
      <c r="F9" s="77" t="s">
        <v>314</v>
      </c>
      <c r="G9" s="77" t="s">
        <v>314</v>
      </c>
      <c r="H9" s="77" t="s">
        <v>470</v>
      </c>
    </row>
    <row r="10" spans="2:8" ht="26" customHeight="1">
      <c r="B10" s="14" t="s">
        <v>634</v>
      </c>
      <c r="C10" s="76" t="s">
        <v>633</v>
      </c>
      <c r="D10" s="76" t="s">
        <v>633</v>
      </c>
      <c r="E10" s="76" t="s">
        <v>314</v>
      </c>
      <c r="F10" s="76" t="s">
        <v>314</v>
      </c>
      <c r="G10" s="76" t="s">
        <v>314</v>
      </c>
      <c r="H10" s="76" t="s">
        <v>635</v>
      </c>
    </row>
    <row r="11" spans="2:8" ht="26" customHeight="1">
      <c r="B11" s="17" t="s">
        <v>636</v>
      </c>
      <c r="C11" s="77" t="s">
        <v>633</v>
      </c>
      <c r="D11" s="77" t="s">
        <v>633</v>
      </c>
      <c r="E11" s="77" t="s">
        <v>633</v>
      </c>
      <c r="F11" s="77" t="s">
        <v>314</v>
      </c>
      <c r="G11" s="77" t="s">
        <v>314</v>
      </c>
      <c r="H11" s="77" t="s">
        <v>473</v>
      </c>
    </row>
    <row r="12" spans="2:8" ht="26" customHeight="1">
      <c r="B12" s="14" t="s">
        <v>637</v>
      </c>
      <c r="C12" s="76" t="s">
        <v>633</v>
      </c>
      <c r="D12" s="76" t="s">
        <v>633</v>
      </c>
      <c r="E12" s="76" t="s">
        <v>633</v>
      </c>
      <c r="F12" s="76" t="s">
        <v>314</v>
      </c>
      <c r="G12" s="76" t="s">
        <v>314</v>
      </c>
      <c r="H12" s="76" t="s">
        <v>473</v>
      </c>
    </row>
    <row r="13" spans="2:8" ht="26" customHeight="1">
      <c r="B13" s="17" t="s">
        <v>638</v>
      </c>
      <c r="C13" s="77" t="s">
        <v>633</v>
      </c>
      <c r="D13" s="77" t="s">
        <v>633</v>
      </c>
      <c r="E13" s="77" t="s">
        <v>314</v>
      </c>
      <c r="F13" s="77" t="s">
        <v>633</v>
      </c>
      <c r="G13" s="77" t="s">
        <v>314</v>
      </c>
      <c r="H13" s="77" t="s">
        <v>476</v>
      </c>
    </row>
    <row r="14" spans="2:8" ht="26" customHeight="1">
      <c r="B14" s="14" t="s">
        <v>639</v>
      </c>
      <c r="C14" s="76" t="s">
        <v>633</v>
      </c>
      <c r="D14" s="76" t="s">
        <v>633</v>
      </c>
      <c r="E14" s="76" t="s">
        <v>314</v>
      </c>
      <c r="F14" s="76" t="s">
        <v>314</v>
      </c>
      <c r="G14" s="76" t="s">
        <v>633</v>
      </c>
      <c r="H14" s="76" t="s">
        <v>479</v>
      </c>
    </row>
    <row r="15" spans="2:8" ht="26" customHeight="1">
      <c r="B15" s="17" t="s">
        <v>640</v>
      </c>
      <c r="C15" s="77" t="s">
        <v>633</v>
      </c>
      <c r="D15" s="77" t="s">
        <v>633</v>
      </c>
      <c r="E15" s="77" t="s">
        <v>633</v>
      </c>
      <c r="F15" s="77" t="s">
        <v>633</v>
      </c>
      <c r="G15" s="77" t="s">
        <v>633</v>
      </c>
      <c r="H15" s="77" t="s">
        <v>485</v>
      </c>
    </row>
  </sheetData>
  <mergeCells count="2">
    <mergeCell ref="B2:H2"/>
    <mergeCell ref="B3:H3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2:D12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54.7109375" customWidth="1"/>
    <col min="4" max="4" width="30.7109375" customWidth="1"/>
  </cols>
  <sheetData>
    <row r="2" spans="2:4" ht="32" customHeight="1">
      <c r="B2" s="70" t="s">
        <v>641</v>
      </c>
      <c r="C2" s="70"/>
      <c r="D2" s="70"/>
    </row>
    <row r="3" spans="2:4" ht="20" customHeight="1">
      <c r="B3" s="2" t="s">
        <v>642</v>
      </c>
      <c r="C3" s="2"/>
      <c r="D3" s="2"/>
    </row>
    <row r="5" spans="2:4">
      <c r="B5" s="71" t="s">
        <v>463</v>
      </c>
      <c r="C5" s="66" t="s">
        <v>384</v>
      </c>
    </row>
    <row r="7" spans="2:4" ht="26" customHeight="1">
      <c r="B7" s="73" t="s">
        <v>643</v>
      </c>
      <c r="C7" s="73" t="s">
        <v>3</v>
      </c>
      <c r="D7" s="73" t="s">
        <v>644</v>
      </c>
    </row>
    <row r="8" spans="2:4" ht="38" customHeight="1">
      <c r="B8" s="14" t="s">
        <v>645</v>
      </c>
      <c r="C8" s="14" t="s">
        <v>646</v>
      </c>
      <c r="D8" s="14" t="s">
        <v>647</v>
      </c>
    </row>
    <row r="9" spans="2:4" ht="38" customHeight="1">
      <c r="B9" s="17" t="s">
        <v>648</v>
      </c>
      <c r="C9" s="17" t="s">
        <v>649</v>
      </c>
      <c r="D9" s="17" t="s">
        <v>650</v>
      </c>
    </row>
    <row r="10" spans="2:4" ht="38" customHeight="1">
      <c r="B10" s="14" t="s">
        <v>651</v>
      </c>
      <c r="C10" s="14" t="s">
        <v>652</v>
      </c>
      <c r="D10" s="14" t="s">
        <v>647</v>
      </c>
    </row>
    <row r="11" spans="2:4" ht="38" customHeight="1">
      <c r="B11" s="17" t="s">
        <v>653</v>
      </c>
      <c r="C11" s="17" t="s">
        <v>654</v>
      </c>
      <c r="D11" s="17" t="s">
        <v>655</v>
      </c>
    </row>
    <row r="12" spans="2:4" ht="38" customHeight="1">
      <c r="B12" s="14" t="s">
        <v>656</v>
      </c>
      <c r="C12" s="14" t="s">
        <v>657</v>
      </c>
      <c r="D12" s="14" t="s">
        <v>658</v>
      </c>
    </row>
  </sheetData>
  <mergeCells count="2">
    <mergeCell ref="B2:D2"/>
    <mergeCell ref="B3:D3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2:C12"/>
  <sheetViews>
    <sheetView showGridLines="0" workbookViewId="0"/>
  </sheetViews>
  <sheetFormatPr defaultRowHeight="15"/>
  <cols>
    <col min="1" max="1" width="3.7109375" customWidth="1"/>
    <col min="2" max="2" width="26.7109375" customWidth="1"/>
    <col min="3" max="3" width="66.7109375" customWidth="1"/>
  </cols>
  <sheetData>
    <row r="2" spans="2:3" ht="32" customHeight="1">
      <c r="B2" s="83" t="s">
        <v>659</v>
      </c>
      <c r="C2" s="83"/>
    </row>
    <row r="3" spans="2:3" ht="20" customHeight="1">
      <c r="B3" s="2" t="s">
        <v>660</v>
      </c>
      <c r="C3" s="2"/>
    </row>
    <row r="5" spans="2:3">
      <c r="B5" s="71" t="s">
        <v>463</v>
      </c>
      <c r="C5" s="66" t="s">
        <v>384</v>
      </c>
    </row>
    <row r="7" spans="2:3" ht="26" customHeight="1">
      <c r="B7" s="84" t="s">
        <v>661</v>
      </c>
      <c r="C7" s="84" t="s">
        <v>597</v>
      </c>
    </row>
    <row r="8" spans="2:3" ht="38" customHeight="1">
      <c r="B8" s="14" t="s">
        <v>662</v>
      </c>
      <c r="C8" s="14" t="s">
        <v>663</v>
      </c>
    </row>
    <row r="9" spans="2:3" ht="38" customHeight="1">
      <c r="B9" s="17" t="s">
        <v>664</v>
      </c>
      <c r="C9" s="17" t="s">
        <v>665</v>
      </c>
    </row>
    <row r="10" spans="2:3" ht="38" customHeight="1">
      <c r="B10" s="14" t="s">
        <v>520</v>
      </c>
      <c r="C10" s="14" t="s">
        <v>666</v>
      </c>
    </row>
    <row r="11" spans="2:3" ht="38" customHeight="1">
      <c r="B11" s="17" t="s">
        <v>667</v>
      </c>
      <c r="C11" s="17" t="s">
        <v>668</v>
      </c>
    </row>
    <row r="12" spans="2:3" ht="38" customHeight="1">
      <c r="B12" s="14" t="s">
        <v>669</v>
      </c>
      <c r="C12" s="14" t="s">
        <v>670</v>
      </c>
    </row>
  </sheetData>
  <mergeCells count="2">
    <mergeCell ref="B2:C2"/>
    <mergeCell ref="B3:C3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B2:E18"/>
  <sheetViews>
    <sheetView showGridLines="0" workbookViewId="0"/>
  </sheetViews>
  <sheetFormatPr defaultRowHeight="15"/>
  <cols>
    <col min="1" max="1" width="3.7109375" customWidth="1"/>
    <col min="2" max="2" width="10.7109375" customWidth="1"/>
    <col min="3" max="3" width="54.7109375" customWidth="1"/>
    <col min="4" max="4" width="34.7109375" customWidth="1"/>
    <col min="5" max="5" width="14.7109375" customWidth="1"/>
  </cols>
  <sheetData>
    <row r="2" spans="2:5" ht="32" customHeight="1">
      <c r="B2" s="58" t="s">
        <v>671</v>
      </c>
      <c r="C2" s="58"/>
      <c r="D2" s="58"/>
      <c r="E2" s="58"/>
    </row>
    <row r="3" spans="2:5" ht="20" customHeight="1">
      <c r="B3" s="2" t="s">
        <v>672</v>
      </c>
      <c r="C3" s="2"/>
      <c r="D3" s="2"/>
      <c r="E3" s="2"/>
    </row>
    <row r="5" spans="2:5">
      <c r="B5" s="71" t="s">
        <v>463</v>
      </c>
      <c r="C5" s="66" t="s">
        <v>384</v>
      </c>
    </row>
    <row r="7" spans="2:5" ht="26" customHeight="1">
      <c r="B7" s="85" t="s">
        <v>378</v>
      </c>
      <c r="C7" s="85" t="s">
        <v>673</v>
      </c>
      <c r="D7" s="85" t="s">
        <v>674</v>
      </c>
      <c r="E7" s="85" t="s">
        <v>379</v>
      </c>
    </row>
    <row r="8" spans="2:5" ht="34" customHeight="1">
      <c r="B8" s="76" t="s">
        <v>383</v>
      </c>
      <c r="C8" s="14" t="s">
        <v>675</v>
      </c>
      <c r="D8" s="14" t="s">
        <v>676</v>
      </c>
      <c r="E8" s="66" t="s">
        <v>384</v>
      </c>
    </row>
    <row r="9" spans="2:5" ht="34" customHeight="1">
      <c r="B9" s="77" t="s">
        <v>393</v>
      </c>
      <c r="C9" s="17" t="s">
        <v>677</v>
      </c>
      <c r="D9" s="17" t="s">
        <v>678</v>
      </c>
      <c r="E9" s="66" t="s">
        <v>384</v>
      </c>
    </row>
    <row r="10" spans="2:5" ht="34" customHeight="1">
      <c r="B10" s="76" t="s">
        <v>399</v>
      </c>
      <c r="C10" s="14" t="s">
        <v>679</v>
      </c>
      <c r="D10" s="14" t="s">
        <v>680</v>
      </c>
      <c r="E10" s="66" t="s">
        <v>384</v>
      </c>
    </row>
    <row r="11" spans="2:5" ht="34" customHeight="1">
      <c r="B11" s="77" t="s">
        <v>405</v>
      </c>
      <c r="C11" s="17" t="s">
        <v>681</v>
      </c>
      <c r="D11" s="17" t="s">
        <v>682</v>
      </c>
      <c r="E11" s="66" t="s">
        <v>384</v>
      </c>
    </row>
    <row r="12" spans="2:5" ht="34" customHeight="1">
      <c r="B12" s="76" t="s">
        <v>683</v>
      </c>
      <c r="C12" s="14" t="s">
        <v>684</v>
      </c>
      <c r="D12" s="14" t="s">
        <v>410</v>
      </c>
      <c r="E12" s="66" t="s">
        <v>384</v>
      </c>
    </row>
    <row r="13" spans="2:5" ht="34" customHeight="1">
      <c r="B13" s="77" t="s">
        <v>418</v>
      </c>
      <c r="C13" s="17" t="s">
        <v>685</v>
      </c>
      <c r="D13" s="17" t="s">
        <v>686</v>
      </c>
      <c r="E13" s="66" t="s">
        <v>384</v>
      </c>
    </row>
    <row r="14" spans="2:5" ht="34" customHeight="1">
      <c r="B14" s="76" t="s">
        <v>427</v>
      </c>
      <c r="C14" s="14" t="s">
        <v>687</v>
      </c>
      <c r="D14" s="14" t="s">
        <v>688</v>
      </c>
      <c r="E14" s="66" t="s">
        <v>384</v>
      </c>
    </row>
    <row r="15" spans="2:5" ht="34" customHeight="1">
      <c r="B15" s="77" t="s">
        <v>437</v>
      </c>
      <c r="C15" s="17" t="s">
        <v>689</v>
      </c>
      <c r="D15" s="17" t="s">
        <v>690</v>
      </c>
      <c r="E15" s="66" t="s">
        <v>384</v>
      </c>
    </row>
    <row r="16" spans="2:5" ht="34" customHeight="1">
      <c r="B16" s="76" t="s">
        <v>448</v>
      </c>
      <c r="C16" s="14" t="s">
        <v>691</v>
      </c>
      <c r="D16" s="14" t="s">
        <v>444</v>
      </c>
      <c r="E16" s="66" t="s">
        <v>384</v>
      </c>
    </row>
    <row r="17" spans="2:5" ht="34" customHeight="1">
      <c r="B17" s="77" t="s">
        <v>455</v>
      </c>
      <c r="C17" s="17" t="s">
        <v>692</v>
      </c>
      <c r="D17" s="17" t="s">
        <v>693</v>
      </c>
      <c r="E17" s="66" t="s">
        <v>384</v>
      </c>
    </row>
    <row r="18" spans="2:5" ht="34" customHeight="1">
      <c r="B18" s="76" t="s">
        <v>460</v>
      </c>
      <c r="C18" s="14" t="s">
        <v>694</v>
      </c>
      <c r="D18" s="14" t="s">
        <v>459</v>
      </c>
      <c r="E18" s="66" t="s">
        <v>384</v>
      </c>
    </row>
  </sheetData>
  <mergeCells count="2">
    <mergeCell ref="B2:E2"/>
    <mergeCell ref="B3:E3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conditionalFormatting sqref="E10">
    <cfRule type="containsText" dxfId="0" priority="10" operator="containsText" text="เสร็จแล้ว">
      <formula>NOT(ISERROR(SEARCH("เสร็จแล้ว",E10)))</formula>
    </cfRule>
    <cfRule type="containsText" dxfId="1" priority="11" operator="containsText" text="กำลังทำ">
      <formula>NOT(ISERROR(SEARCH("กำลังทำ",E10)))</formula>
    </cfRule>
    <cfRule type="containsText" dxfId="2" priority="12" operator="containsText" text="ข้าม">
      <formula>NOT(ISERROR(SEARCH("ข้าม",E10)))</formula>
    </cfRule>
  </conditionalFormatting>
  <conditionalFormatting sqref="E11">
    <cfRule type="containsText" dxfId="0" priority="13" operator="containsText" text="เสร็จแล้ว">
      <formula>NOT(ISERROR(SEARCH("เสร็จแล้ว",E11)))</formula>
    </cfRule>
    <cfRule type="containsText" dxfId="1" priority="14" operator="containsText" text="กำลังทำ">
      <formula>NOT(ISERROR(SEARCH("กำลังทำ",E11)))</formula>
    </cfRule>
    <cfRule type="containsText" dxfId="2" priority="15" operator="containsText" text="ข้าม">
      <formula>NOT(ISERROR(SEARCH("ข้าม",E11)))</formula>
    </cfRule>
  </conditionalFormatting>
  <conditionalFormatting sqref="E12">
    <cfRule type="containsText" dxfId="0" priority="16" operator="containsText" text="เสร็จแล้ว">
      <formula>NOT(ISERROR(SEARCH("เสร็จแล้ว",E12)))</formula>
    </cfRule>
    <cfRule type="containsText" dxfId="1" priority="17" operator="containsText" text="กำลังทำ">
      <formula>NOT(ISERROR(SEARCH("กำลังทำ",E12)))</formula>
    </cfRule>
    <cfRule type="containsText" dxfId="2" priority="18" operator="containsText" text="ข้าม">
      <formula>NOT(ISERROR(SEARCH("ข้าม",E12)))</formula>
    </cfRule>
  </conditionalFormatting>
  <conditionalFormatting sqref="E13">
    <cfRule type="containsText" dxfId="0" priority="19" operator="containsText" text="เสร็จแล้ว">
      <formula>NOT(ISERROR(SEARCH("เสร็จแล้ว",E13)))</formula>
    </cfRule>
    <cfRule type="containsText" dxfId="1" priority="20" operator="containsText" text="กำลังทำ">
      <formula>NOT(ISERROR(SEARCH("กำลังทำ",E13)))</formula>
    </cfRule>
    <cfRule type="containsText" dxfId="2" priority="21" operator="containsText" text="ข้าม">
      <formula>NOT(ISERROR(SEARCH("ข้าม",E13)))</formula>
    </cfRule>
  </conditionalFormatting>
  <conditionalFormatting sqref="E14">
    <cfRule type="containsText" dxfId="0" priority="22" operator="containsText" text="เสร็จแล้ว">
      <formula>NOT(ISERROR(SEARCH("เสร็จแล้ว",E14)))</formula>
    </cfRule>
    <cfRule type="containsText" dxfId="1" priority="23" operator="containsText" text="กำลังทำ">
      <formula>NOT(ISERROR(SEARCH("กำลังทำ",E14)))</formula>
    </cfRule>
    <cfRule type="containsText" dxfId="2" priority="24" operator="containsText" text="ข้าม">
      <formula>NOT(ISERROR(SEARCH("ข้าม",E14)))</formula>
    </cfRule>
  </conditionalFormatting>
  <conditionalFormatting sqref="E15">
    <cfRule type="containsText" dxfId="0" priority="25" operator="containsText" text="เสร็จแล้ว">
      <formula>NOT(ISERROR(SEARCH("เสร็จแล้ว",E15)))</formula>
    </cfRule>
    <cfRule type="containsText" dxfId="1" priority="26" operator="containsText" text="กำลังทำ">
      <formula>NOT(ISERROR(SEARCH("กำลังทำ",E15)))</formula>
    </cfRule>
    <cfRule type="containsText" dxfId="2" priority="27" operator="containsText" text="ข้าม">
      <formula>NOT(ISERROR(SEARCH("ข้าม",E15)))</formula>
    </cfRule>
  </conditionalFormatting>
  <conditionalFormatting sqref="E16">
    <cfRule type="containsText" dxfId="0" priority="28" operator="containsText" text="เสร็จแล้ว">
      <formula>NOT(ISERROR(SEARCH("เสร็จแล้ว",E16)))</formula>
    </cfRule>
    <cfRule type="containsText" dxfId="1" priority="29" operator="containsText" text="กำลังทำ">
      <formula>NOT(ISERROR(SEARCH("กำลังทำ",E16)))</formula>
    </cfRule>
    <cfRule type="containsText" dxfId="2" priority="30" operator="containsText" text="ข้าม">
      <formula>NOT(ISERROR(SEARCH("ข้าม",E16)))</formula>
    </cfRule>
  </conditionalFormatting>
  <conditionalFormatting sqref="E17">
    <cfRule type="containsText" dxfId="0" priority="31" operator="containsText" text="เสร็จแล้ว">
      <formula>NOT(ISERROR(SEARCH("เสร็จแล้ว",E17)))</formula>
    </cfRule>
    <cfRule type="containsText" dxfId="1" priority="32" operator="containsText" text="กำลังทำ">
      <formula>NOT(ISERROR(SEARCH("กำลังทำ",E17)))</formula>
    </cfRule>
    <cfRule type="containsText" dxfId="2" priority="33" operator="containsText" text="ข้าม">
      <formula>NOT(ISERROR(SEARCH("ข้าม",E17)))</formula>
    </cfRule>
  </conditionalFormatting>
  <conditionalFormatting sqref="E18">
    <cfRule type="containsText" dxfId="0" priority="34" operator="containsText" text="เสร็จแล้ว">
      <formula>NOT(ISERROR(SEARCH("เสร็จแล้ว",E18)))</formula>
    </cfRule>
    <cfRule type="containsText" dxfId="1" priority="35" operator="containsText" text="กำลังทำ">
      <formula>NOT(ISERROR(SEARCH("กำลังทำ",E18)))</formula>
    </cfRule>
    <cfRule type="containsText" dxfId="2" priority="36" operator="containsText" text="ข้าม">
      <formula>NOT(ISERROR(SEARCH("ข้าม",E18)))</formula>
    </cfRule>
  </conditionalFormatting>
  <conditionalFormatting sqref="E8">
    <cfRule type="containsText" dxfId="0" priority="4" operator="containsText" text="เสร็จแล้ว">
      <formula>NOT(ISERROR(SEARCH("เสร็จแล้ว",E8)))</formula>
    </cfRule>
    <cfRule type="containsText" dxfId="1" priority="5" operator="containsText" text="กำลังทำ">
      <formula>NOT(ISERROR(SEARCH("กำลังทำ",E8)))</formula>
    </cfRule>
    <cfRule type="containsText" dxfId="2" priority="6" operator="containsText" text="ข้าม">
      <formula>NOT(ISERROR(SEARCH("ข้าม",E8)))</formula>
    </cfRule>
  </conditionalFormatting>
  <conditionalFormatting sqref="E9">
    <cfRule type="containsText" dxfId="0" priority="7" operator="containsText" text="เสร็จแล้ว">
      <formula>NOT(ISERROR(SEARCH("เสร็จแล้ว",E9)))</formula>
    </cfRule>
    <cfRule type="containsText" dxfId="1" priority="8" operator="containsText" text="กำลังทำ">
      <formula>NOT(ISERROR(SEARCH("กำลังทำ",E9)))</formula>
    </cfRule>
    <cfRule type="containsText" dxfId="2" priority="9" operator="containsText" text="ข้าม">
      <formula>NOT(ISERROR(SEARCH("ข้าม",E9)))</formula>
    </cfRule>
  </conditionalFormatting>
  <dataValidations count="12">
    <dataValidation type="list" allowBlank="1" showInputMessage="1" showErrorMessage="1" sqref="C5">
      <formula1>"ยังไม่เริ่ม,กำลังทำ,เสร็จแล้ว,ข้าม"</formula1>
    </dataValidation>
    <dataValidation type="list" allowBlank="1" showInputMessage="1" showErrorMessage="1" sqref="E8">
      <formula1>"ยังไม่เริ่ม,กำลังทำ,เสร็จแล้ว,ข้าม"</formula1>
    </dataValidation>
    <dataValidation type="list" allowBlank="1" showInputMessage="1" showErrorMessage="1" sqref="E9">
      <formula1>"ยังไม่เริ่ม,กำลังทำ,เสร็จแล้ว,ข้าม"</formula1>
    </dataValidation>
    <dataValidation type="list" allowBlank="1" showInputMessage="1" showErrorMessage="1" sqref="E10">
      <formula1>"ยังไม่เริ่ม,กำลังทำ,เสร็จแล้ว,ข้าม"</formula1>
    </dataValidation>
    <dataValidation type="list" allowBlank="1" showInputMessage="1" showErrorMessage="1" sqref="E11">
      <formula1>"ยังไม่เริ่ม,กำลังทำ,เสร็จแล้ว,ข้าม"</formula1>
    </dataValidation>
    <dataValidation type="list" allowBlank="1" showInputMessage="1" showErrorMessage="1" sqref="E12">
      <formula1>"ยังไม่เริ่ม,กำลังทำ,เสร็จแล้ว,ข้าม"</formula1>
    </dataValidation>
    <dataValidation type="list" allowBlank="1" showInputMessage="1" showErrorMessage="1" sqref="E13">
      <formula1>"ยังไม่เริ่ม,กำลังทำ,เสร็จแล้ว,ข้าม"</formula1>
    </dataValidation>
    <dataValidation type="list" allowBlank="1" showInputMessage="1" showErrorMessage="1" sqref="E14">
      <formula1>"ยังไม่เริ่ม,กำลังทำ,เสร็จแล้ว,ข้าม"</formula1>
    </dataValidation>
    <dataValidation type="list" allowBlank="1" showInputMessage="1" showErrorMessage="1" sqref="E15">
      <formula1>"ยังไม่เริ่ม,กำลังทำ,เสร็จแล้ว,ข้าม"</formula1>
    </dataValidation>
    <dataValidation type="list" allowBlank="1" showInputMessage="1" showErrorMessage="1" sqref="E16">
      <formula1>"ยังไม่เริ่ม,กำลังทำ,เสร็จแล้ว,ข้าม"</formula1>
    </dataValidation>
    <dataValidation type="list" allowBlank="1" showInputMessage="1" showErrorMessage="1" sqref="E17">
      <formula1>"ยังไม่เริ่ม,กำลังทำ,เสร็จแล้ว,ข้าม"</formula1>
    </dataValidation>
    <dataValidation type="list" allowBlank="1" showInputMessage="1" showErrorMessage="1" sqref="E18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2:G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3" width="12.7109375" customWidth="1"/>
    <col min="4" max="6" width="14.7109375" customWidth="1"/>
    <col min="7" max="7" width="16.7109375" customWidth="1"/>
  </cols>
  <sheetData>
    <row r="2" spans="2:7" ht="32" customHeight="1">
      <c r="B2" s="74" t="s">
        <v>695</v>
      </c>
      <c r="C2" s="74"/>
      <c r="D2" s="74"/>
      <c r="E2" s="74"/>
      <c r="F2" s="74"/>
      <c r="G2" s="74"/>
    </row>
    <row r="3" spans="2:7" ht="20" customHeight="1">
      <c r="B3" s="2" t="s">
        <v>696</v>
      </c>
      <c r="C3" s="2"/>
      <c r="D3" s="2"/>
      <c r="E3" s="2"/>
      <c r="F3" s="2"/>
      <c r="G3" s="2"/>
    </row>
    <row r="5" spans="2:7">
      <c r="B5" s="71" t="s">
        <v>463</v>
      </c>
      <c r="C5" s="66" t="s">
        <v>384</v>
      </c>
    </row>
    <row r="7" spans="2:7" ht="26" customHeight="1">
      <c r="B7" s="75" t="s">
        <v>628</v>
      </c>
      <c r="C7" s="75" t="s">
        <v>305</v>
      </c>
      <c r="D7" s="75" t="s">
        <v>697</v>
      </c>
      <c r="E7" s="75" t="s">
        <v>698</v>
      </c>
      <c r="F7" s="75" t="s">
        <v>699</v>
      </c>
      <c r="G7" s="75" t="s">
        <v>700</v>
      </c>
    </row>
    <row r="8" spans="2:7" ht="28" customHeight="1">
      <c r="B8" s="14" t="s">
        <v>581</v>
      </c>
      <c r="C8" s="76"/>
      <c r="D8" s="76"/>
      <c r="E8" s="76"/>
      <c r="F8" s="76"/>
      <c r="G8" s="66" t="s">
        <v>384</v>
      </c>
    </row>
    <row r="9" spans="2:7" ht="28" customHeight="1">
      <c r="B9" s="17" t="s">
        <v>584</v>
      </c>
      <c r="C9" s="77"/>
      <c r="D9" s="77"/>
      <c r="E9" s="77"/>
      <c r="F9" s="77"/>
      <c r="G9" s="66" t="s">
        <v>384</v>
      </c>
    </row>
    <row r="10" spans="2:7" ht="28" customHeight="1">
      <c r="B10" s="14" t="s">
        <v>634</v>
      </c>
      <c r="C10" s="76"/>
      <c r="D10" s="76"/>
      <c r="E10" s="76"/>
      <c r="F10" s="76"/>
      <c r="G10" s="66" t="s">
        <v>384</v>
      </c>
    </row>
    <row r="11" spans="2:7" ht="28" customHeight="1">
      <c r="B11" s="17" t="s">
        <v>636</v>
      </c>
      <c r="C11" s="77"/>
      <c r="D11" s="77"/>
      <c r="E11" s="77"/>
      <c r="F11" s="77"/>
      <c r="G11" s="66" t="s">
        <v>384</v>
      </c>
    </row>
    <row r="12" spans="2:7" ht="28" customHeight="1">
      <c r="B12" s="14" t="s">
        <v>637</v>
      </c>
      <c r="C12" s="76"/>
      <c r="D12" s="76"/>
      <c r="E12" s="76"/>
      <c r="F12" s="76"/>
      <c r="G12" s="66" t="s">
        <v>384</v>
      </c>
    </row>
    <row r="13" spans="2:7" ht="28" customHeight="1">
      <c r="B13" s="17" t="s">
        <v>638</v>
      </c>
      <c r="C13" s="77"/>
      <c r="D13" s="77"/>
      <c r="E13" s="77"/>
      <c r="F13" s="77"/>
      <c r="G13" s="66" t="s">
        <v>384</v>
      </c>
    </row>
    <row r="14" spans="2:7" ht="28" customHeight="1">
      <c r="B14" s="14" t="s">
        <v>639</v>
      </c>
      <c r="C14" s="76"/>
      <c r="D14" s="76"/>
      <c r="E14" s="76"/>
      <c r="F14" s="76"/>
      <c r="G14" s="66" t="s">
        <v>384</v>
      </c>
    </row>
    <row r="15" spans="2:7" ht="28" customHeight="1">
      <c r="B15" s="17" t="s">
        <v>640</v>
      </c>
      <c r="C15" s="77"/>
      <c r="D15" s="77"/>
      <c r="E15" s="77"/>
      <c r="F15" s="77"/>
      <c r="G15" s="66" t="s">
        <v>384</v>
      </c>
    </row>
    <row r="17" spans="2:7" ht="40" customHeight="1">
      <c r="B17" s="20" t="s">
        <v>701</v>
      </c>
      <c r="C17" s="20"/>
      <c r="D17" s="20"/>
      <c r="E17" s="20"/>
      <c r="F17" s="20"/>
      <c r="G17" s="20"/>
    </row>
  </sheetData>
  <mergeCells count="3">
    <mergeCell ref="B2:G2"/>
    <mergeCell ref="B3:G3"/>
    <mergeCell ref="B17:G17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conditionalFormatting sqref="G10">
    <cfRule type="containsText" dxfId="0" priority="8" operator="containsText" text="เก็บ">
      <formula>NOT(ISERROR(SEARCH("เก็บ",G10)))</formula>
    </cfRule>
    <cfRule type="containsText" dxfId="3" priority="9" operator="containsText" text="ตัด">
      <formula>NOT(ISERROR(SEARCH("ตัด",G10)))</formula>
    </cfRule>
  </conditionalFormatting>
  <conditionalFormatting sqref="G11">
    <cfRule type="containsText" dxfId="0" priority="10" operator="containsText" text="เก็บ">
      <formula>NOT(ISERROR(SEARCH("เก็บ",G11)))</formula>
    </cfRule>
    <cfRule type="containsText" dxfId="3" priority="11" operator="containsText" text="ตัด">
      <formula>NOT(ISERROR(SEARCH("ตัด",G11)))</formula>
    </cfRule>
  </conditionalFormatting>
  <conditionalFormatting sqref="G12">
    <cfRule type="containsText" dxfId="0" priority="12" operator="containsText" text="เก็บ">
      <formula>NOT(ISERROR(SEARCH("เก็บ",G12)))</formula>
    </cfRule>
    <cfRule type="containsText" dxfId="3" priority="13" operator="containsText" text="ตัด">
      <formula>NOT(ISERROR(SEARCH("ตัด",G12)))</formula>
    </cfRule>
  </conditionalFormatting>
  <conditionalFormatting sqref="G13">
    <cfRule type="containsText" dxfId="0" priority="14" operator="containsText" text="เก็บ">
      <formula>NOT(ISERROR(SEARCH("เก็บ",G13)))</formula>
    </cfRule>
    <cfRule type="containsText" dxfId="3" priority="15" operator="containsText" text="ตัด">
      <formula>NOT(ISERROR(SEARCH("ตัด",G13)))</formula>
    </cfRule>
  </conditionalFormatting>
  <conditionalFormatting sqref="G14">
    <cfRule type="containsText" dxfId="0" priority="16" operator="containsText" text="เก็บ">
      <formula>NOT(ISERROR(SEARCH("เก็บ",G14)))</formula>
    </cfRule>
    <cfRule type="containsText" dxfId="3" priority="17" operator="containsText" text="ตัด">
      <formula>NOT(ISERROR(SEARCH("ตัด",G14)))</formula>
    </cfRule>
  </conditionalFormatting>
  <conditionalFormatting sqref="G15">
    <cfRule type="containsText" dxfId="0" priority="18" operator="containsText" text="เก็บ">
      <formula>NOT(ISERROR(SEARCH("เก็บ",G15)))</formula>
    </cfRule>
    <cfRule type="containsText" dxfId="3" priority="19" operator="containsText" text="ตัด">
      <formula>NOT(ISERROR(SEARCH("ตัด",G15)))</formula>
    </cfRule>
  </conditionalFormatting>
  <conditionalFormatting sqref="G8">
    <cfRule type="containsText" dxfId="0" priority="4" operator="containsText" text="เก็บ">
      <formula>NOT(ISERROR(SEARCH("เก็บ",G8)))</formula>
    </cfRule>
    <cfRule type="containsText" dxfId="3" priority="5" operator="containsText" text="ตัด">
      <formula>NOT(ISERROR(SEARCH("ตัด",G8)))</formula>
    </cfRule>
  </conditionalFormatting>
  <conditionalFormatting sqref="G9">
    <cfRule type="containsText" dxfId="0" priority="6" operator="containsText" text="เก็บ">
      <formula>NOT(ISERROR(SEARCH("เก็บ",G9)))</formula>
    </cfRule>
    <cfRule type="containsText" dxfId="3" priority="7" operator="containsText" text="ตัด">
      <formula>NOT(ISERROR(SEARCH("ตัด",G9)))</formula>
    </cfRule>
  </conditionalFormatting>
  <dataValidations count="9">
    <dataValidation type="list" allowBlank="1" showInputMessage="1" showErrorMessage="1" sqref="C5">
      <formula1>"ยังไม่เริ่ม,กำลังทำ,เสร็จแล้ว,ข้าม"</formula1>
    </dataValidation>
    <dataValidation type="list" allowBlank="1" showInputMessage="1" showErrorMessage="1" sqref="G8">
      <formula1>"ยังไม่สรุป,เก็บ,ตัด"</formula1>
    </dataValidation>
    <dataValidation type="list" allowBlank="1" showInputMessage="1" showErrorMessage="1" sqref="G9">
      <formula1>"ยังไม่สรุป,เก็บ,ตัด"</formula1>
    </dataValidation>
    <dataValidation type="list" allowBlank="1" showInputMessage="1" showErrorMessage="1" sqref="G10">
      <formula1>"ยังไม่สรุป,เก็บ,ตัด"</formula1>
    </dataValidation>
    <dataValidation type="list" allowBlank="1" showInputMessage="1" showErrorMessage="1" sqref="G11">
      <formula1>"ยังไม่สรุป,เก็บ,ตัด"</formula1>
    </dataValidation>
    <dataValidation type="list" allowBlank="1" showInputMessage="1" showErrorMessage="1" sqref="G12">
      <formula1>"ยังไม่สรุป,เก็บ,ตัด"</formula1>
    </dataValidation>
    <dataValidation type="list" allowBlank="1" showInputMessage="1" showErrorMessage="1" sqref="G13">
      <formula1>"ยังไม่สรุป,เก็บ,ตัด"</formula1>
    </dataValidation>
    <dataValidation type="list" allowBlank="1" showInputMessage="1" showErrorMessage="1" sqref="G14">
      <formula1>"ยังไม่สรุป,เก็บ,ตัด"</formula1>
    </dataValidation>
    <dataValidation type="list" allowBlank="1" showInputMessage="1" showErrorMessage="1" sqref="G15">
      <formula1>"ยังไม่สรุป,เก็บ,ตัด"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B2:D12"/>
  <sheetViews>
    <sheetView showGridLines="0" workbookViewId="0"/>
  </sheetViews>
  <sheetFormatPr defaultRowHeight="15"/>
  <cols>
    <col min="1" max="1" width="3.7109375" customWidth="1"/>
    <col min="2" max="2" width="28.7109375" customWidth="1"/>
    <col min="3" max="3" width="34.7109375" customWidth="1"/>
    <col min="4" max="4" width="40.7109375" customWidth="1"/>
  </cols>
  <sheetData>
    <row r="2" spans="2:4" ht="32" customHeight="1">
      <c r="B2" s="83" t="s">
        <v>702</v>
      </c>
      <c r="C2" s="83"/>
      <c r="D2" s="83"/>
    </row>
    <row r="3" spans="2:4" ht="20" customHeight="1">
      <c r="B3" s="2" t="s">
        <v>703</v>
      </c>
      <c r="C3" s="2"/>
      <c r="D3" s="2"/>
    </row>
    <row r="5" spans="2:4">
      <c r="B5" s="71" t="s">
        <v>463</v>
      </c>
      <c r="C5" s="66" t="s">
        <v>384</v>
      </c>
    </row>
    <row r="7" spans="2:4" ht="26" customHeight="1">
      <c r="B7" s="84" t="s">
        <v>704</v>
      </c>
      <c r="C7" s="84" t="s">
        <v>705</v>
      </c>
      <c r="D7" s="84" t="s">
        <v>706</v>
      </c>
    </row>
    <row r="8" spans="2:4" ht="40" customHeight="1">
      <c r="B8" s="14" t="s">
        <v>707</v>
      </c>
      <c r="C8" s="14" t="s">
        <v>708</v>
      </c>
      <c r="D8" s="14" t="s">
        <v>709</v>
      </c>
    </row>
    <row r="9" spans="2:4" ht="40" customHeight="1">
      <c r="B9" s="17" t="s">
        <v>710</v>
      </c>
      <c r="C9" s="17" t="s">
        <v>711</v>
      </c>
      <c r="D9" s="17" t="s">
        <v>712</v>
      </c>
    </row>
    <row r="10" spans="2:4" ht="40" customHeight="1">
      <c r="B10" s="14" t="s">
        <v>713</v>
      </c>
      <c r="C10" s="14" t="s">
        <v>714</v>
      </c>
      <c r="D10" s="14" t="s">
        <v>715</v>
      </c>
    </row>
    <row r="11" spans="2:4" ht="40" customHeight="1">
      <c r="B11" s="17" t="s">
        <v>716</v>
      </c>
      <c r="C11" s="17" t="s">
        <v>717</v>
      </c>
      <c r="D11" s="17" t="s">
        <v>718</v>
      </c>
    </row>
    <row r="12" spans="2:4" ht="40" customHeight="1">
      <c r="B12" s="14" t="s">
        <v>719</v>
      </c>
      <c r="C12" s="14" t="s">
        <v>720</v>
      </c>
      <c r="D12" s="14" t="s">
        <v>721</v>
      </c>
    </row>
  </sheetData>
  <mergeCells count="2">
    <mergeCell ref="B2:D2"/>
    <mergeCell ref="B3:D3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B2:C15"/>
  <sheetViews>
    <sheetView showGridLines="0" workbookViewId="0"/>
  </sheetViews>
  <sheetFormatPr defaultRowHeight="15"/>
  <cols>
    <col min="1" max="1" width="3.7109375" customWidth="1"/>
    <col min="2" max="2" width="40.7109375" customWidth="1"/>
    <col min="3" max="3" width="56.7109375" customWidth="1"/>
  </cols>
  <sheetData>
    <row r="2" spans="2:3" ht="32" customHeight="1">
      <c r="B2" s="80" t="s">
        <v>722</v>
      </c>
      <c r="C2" s="80"/>
    </row>
    <row r="3" spans="2:3" ht="20" customHeight="1">
      <c r="B3" s="2" t="s">
        <v>723</v>
      </c>
      <c r="C3" s="2"/>
    </row>
    <row r="5" spans="2:3">
      <c r="B5" s="71" t="s">
        <v>463</v>
      </c>
      <c r="C5" s="66" t="s">
        <v>384</v>
      </c>
    </row>
    <row r="7" spans="2:3" ht="26" customHeight="1">
      <c r="B7" s="81" t="s">
        <v>724</v>
      </c>
      <c r="C7" s="81" t="s">
        <v>725</v>
      </c>
    </row>
    <row r="8" spans="2:3" ht="46" customHeight="1">
      <c r="B8" s="14" t="s">
        <v>726</v>
      </c>
      <c r="C8" s="14" t="s">
        <v>727</v>
      </c>
    </row>
    <row r="9" spans="2:3" ht="46" customHeight="1">
      <c r="B9" s="17" t="s">
        <v>728</v>
      </c>
      <c r="C9" s="17" t="s">
        <v>729</v>
      </c>
    </row>
    <row r="10" spans="2:3" ht="46" customHeight="1">
      <c r="B10" s="14" t="s">
        <v>730</v>
      </c>
      <c r="C10" s="14" t="s">
        <v>731</v>
      </c>
    </row>
    <row r="11" spans="2:3" ht="46" customHeight="1">
      <c r="B11" s="17" t="s">
        <v>732</v>
      </c>
      <c r="C11" s="17" t="s">
        <v>733</v>
      </c>
    </row>
    <row r="12" spans="2:3" ht="46" customHeight="1">
      <c r="B12" s="14" t="s">
        <v>734</v>
      </c>
      <c r="C12" s="14" t="s">
        <v>735</v>
      </c>
    </row>
    <row r="13" spans="2:3" ht="46" customHeight="1">
      <c r="B13" s="17" t="s">
        <v>736</v>
      </c>
      <c r="C13" s="17" t="s">
        <v>737</v>
      </c>
    </row>
    <row r="14" spans="2:3" ht="46" customHeight="1">
      <c r="B14" s="14" t="s">
        <v>738</v>
      </c>
      <c r="C14" s="14" t="s">
        <v>739</v>
      </c>
    </row>
    <row r="15" spans="2:3" ht="46" customHeight="1">
      <c r="B15" s="17" t="s">
        <v>740</v>
      </c>
      <c r="C15" s="17" t="s">
        <v>741</v>
      </c>
    </row>
  </sheetData>
  <mergeCells count="2">
    <mergeCell ref="B2:C2"/>
    <mergeCell ref="B3:C3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B2:F30"/>
  <sheetViews>
    <sheetView showGridLines="0" workbookViewId="0"/>
  </sheetViews>
  <sheetFormatPr defaultRowHeight="15"/>
  <cols>
    <col min="1" max="1" width="3.7109375" customWidth="1"/>
    <col min="2" max="2" width="22.7109375" customWidth="1"/>
    <col min="3" max="3" width="58.7109375" customWidth="1"/>
    <col min="4" max="4" width="24.7109375" customWidth="1"/>
  </cols>
  <sheetData>
    <row r="2" spans="2:6" ht="32" customHeight="1">
      <c r="B2" s="86" t="s">
        <v>742</v>
      </c>
      <c r="C2" s="86"/>
      <c r="D2" s="86"/>
    </row>
    <row r="3" spans="2:6" ht="20" customHeight="1">
      <c r="B3" s="2" t="s">
        <v>743</v>
      </c>
      <c r="C3" s="2"/>
      <c r="D3" s="2"/>
    </row>
    <row r="5" spans="2:6">
      <c r="B5" s="71" t="s">
        <v>463</v>
      </c>
      <c r="C5" s="66" t="s">
        <v>384</v>
      </c>
    </row>
    <row r="7" spans="2:6" ht="24" customHeight="1">
      <c r="B7" s="87" t="s">
        <v>744</v>
      </c>
      <c r="C7" s="87"/>
      <c r="D7" s="87"/>
    </row>
    <row r="8" spans="2:6">
      <c r="B8" s="82" t="s">
        <v>745</v>
      </c>
      <c r="C8" s="82"/>
      <c r="D8" s="82"/>
    </row>
    <row r="9" spans="2:6">
      <c r="B9" s="88" t="s">
        <v>746</v>
      </c>
      <c r="C9" s="88"/>
      <c r="D9" s="88"/>
    </row>
    <row r="10" spans="2:6" ht="8" customHeight="1"/>
    <row r="11" spans="2:6" ht="24" customHeight="1">
      <c r="B11" s="87" t="s">
        <v>747</v>
      </c>
      <c r="C11" s="87"/>
      <c r="D11" s="87"/>
    </row>
    <row r="12" spans="2:6" ht="26" customHeight="1">
      <c r="B12" s="89" t="s">
        <v>748</v>
      </c>
      <c r="C12" s="89" t="s">
        <v>749</v>
      </c>
      <c r="D12" s="89" t="s">
        <v>294</v>
      </c>
      <c r="E12" s="89" t="s">
        <v>750</v>
      </c>
      <c r="F12" s="89" t="s">
        <v>751</v>
      </c>
    </row>
    <row r="13" spans="2:6" ht="28" customHeight="1">
      <c r="B13" s="14" t="s">
        <v>383</v>
      </c>
      <c r="C13" s="14" t="s">
        <v>752</v>
      </c>
      <c r="D13" s="14" t="s">
        <v>753</v>
      </c>
      <c r="E13" s="14" t="s">
        <v>754</v>
      </c>
      <c r="F13" s="14">
        <f> rated C10 — ยืนยัน I_rated</f>
        <v>0</v>
      </c>
    </row>
    <row r="14" spans="2:6" ht="28" customHeight="1">
      <c r="B14" s="17" t="s">
        <v>393</v>
      </c>
      <c r="C14" s="17" t="s">
        <v>755</v>
      </c>
      <c r="D14" s="17" t="s">
        <v>756</v>
      </c>
      <c r="E14" s="17" t="s">
        <v>757</v>
      </c>
      <c r="F14" s="17"/>
    </row>
    <row r="15" spans="2:6" ht="28" customHeight="1">
      <c r="B15" s="14" t="s">
        <v>399</v>
      </c>
      <c r="C15" s="14" t="s">
        <v>758</v>
      </c>
      <c r="D15" s="14" t="s">
        <v>759</v>
      </c>
      <c r="E15" s="14" t="s">
        <v>760</v>
      </c>
      <c r="F15" s="14"/>
    </row>
    <row r="16" spans="2:6" ht="28" customHeight="1">
      <c r="B16" s="17" t="s">
        <v>405</v>
      </c>
      <c r="C16" s="17" t="s">
        <v>761</v>
      </c>
      <c r="D16" s="17" t="s">
        <v>762</v>
      </c>
      <c r="E16" s="17" t="s">
        <v>763</v>
      </c>
      <c r="F16" s="17" t="s">
        <v>764</v>
      </c>
    </row>
    <row r="17" spans="2:5" ht="28" customHeight="1">
      <c r="B17" s="20" t="s">
        <v>765</v>
      </c>
      <c r="C17" s="20"/>
      <c r="D17" s="20"/>
    </row>
    <row r="18" spans="2:5" ht="8" customHeight="1"/>
    <row r="19" spans="2:5" ht="24" customHeight="1">
      <c r="B19" s="87" t="s">
        <v>766</v>
      </c>
      <c r="C19" s="87"/>
      <c r="D19" s="87"/>
    </row>
    <row r="20" spans="2:5" ht="110" customHeight="1">
      <c r="B20" s="90" t="s">
        <v>767</v>
      </c>
      <c r="C20" s="90"/>
      <c r="D20" s="90"/>
    </row>
    <row r="21" spans="2:5" ht="8" customHeight="1"/>
    <row r="22" spans="2:5" ht="24" customHeight="1">
      <c r="B22" s="87" t="s">
        <v>768</v>
      </c>
      <c r="C22" s="87"/>
      <c r="D22" s="87"/>
    </row>
    <row r="23" spans="2:5" ht="55" customHeight="1">
      <c r="B23" s="90" t="s">
        <v>769</v>
      </c>
      <c r="C23" s="90"/>
      <c r="D23" s="90"/>
    </row>
    <row r="24" spans="2:5" ht="8" customHeight="1"/>
    <row r="25" spans="2:5" ht="24" customHeight="1">
      <c r="B25" s="87" t="s">
        <v>770</v>
      </c>
      <c r="C25" s="87"/>
      <c r="D25" s="87"/>
    </row>
    <row r="26" spans="2:5" ht="26" customHeight="1">
      <c r="B26" s="89" t="s">
        <v>771</v>
      </c>
      <c r="C26" s="89" t="s">
        <v>772</v>
      </c>
      <c r="D26" s="89" t="s">
        <v>773</v>
      </c>
      <c r="E26" s="89" t="s">
        <v>774</v>
      </c>
    </row>
    <row r="27" spans="2:5" ht="28" customHeight="1">
      <c r="B27" s="14" t="s">
        <v>775</v>
      </c>
      <c r="C27" s="14" t="s">
        <v>776</v>
      </c>
      <c r="D27" s="14" t="s">
        <v>777</v>
      </c>
      <c r="E27" s="14"/>
    </row>
    <row r="28" spans="2:5" ht="28" customHeight="1">
      <c r="B28" s="17" t="s">
        <v>778</v>
      </c>
      <c r="C28" s="17" t="s">
        <v>779</v>
      </c>
      <c r="D28" s="17" t="s">
        <v>780</v>
      </c>
      <c r="E28" s="17" t="s">
        <v>781</v>
      </c>
    </row>
    <row r="29" spans="2:5" ht="28" customHeight="1">
      <c r="B29" s="14" t="s">
        <v>782</v>
      </c>
      <c r="C29" s="14" t="s">
        <v>783</v>
      </c>
      <c r="D29" s="14" t="s">
        <v>784</v>
      </c>
      <c r="E29" s="14"/>
    </row>
    <row r="30" spans="2:5" ht="28" customHeight="1">
      <c r="B30" s="20" t="s">
        <v>785</v>
      </c>
      <c r="C30" s="20"/>
      <c r="D30" s="20"/>
    </row>
  </sheetData>
  <mergeCells count="13">
    <mergeCell ref="B2:D2"/>
    <mergeCell ref="B3:D3"/>
    <mergeCell ref="B7:D7"/>
    <mergeCell ref="B8:D8"/>
    <mergeCell ref="B9:D9"/>
    <mergeCell ref="B11:D11"/>
    <mergeCell ref="B17:D17"/>
    <mergeCell ref="B19:D19"/>
    <mergeCell ref="B20:D20"/>
    <mergeCell ref="B22:D22"/>
    <mergeCell ref="B23:D23"/>
    <mergeCell ref="B25:D25"/>
    <mergeCell ref="B30:D30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B2:E24"/>
  <sheetViews>
    <sheetView showGridLines="0" workbookViewId="0"/>
  </sheetViews>
  <sheetFormatPr defaultRowHeight="15"/>
  <cols>
    <col min="1" max="1" width="3.7109375" customWidth="1"/>
    <col min="2" max="2" width="22.7109375" customWidth="1"/>
    <col min="3" max="3" width="58.7109375" customWidth="1"/>
    <col min="4" max="4" width="24.7109375" customWidth="1"/>
  </cols>
  <sheetData>
    <row r="2" spans="2:4" ht="32" customHeight="1">
      <c r="B2" s="86" t="s">
        <v>786</v>
      </c>
      <c r="C2" s="86"/>
      <c r="D2" s="86"/>
    </row>
    <row r="3" spans="2:4" ht="20" customHeight="1">
      <c r="B3" s="2" t="s">
        <v>787</v>
      </c>
      <c r="C3" s="2"/>
      <c r="D3" s="2"/>
    </row>
    <row r="5" spans="2:4">
      <c r="B5" s="71" t="s">
        <v>463</v>
      </c>
      <c r="C5" s="66" t="s">
        <v>384</v>
      </c>
    </row>
    <row r="7" spans="2:4" ht="24" customHeight="1">
      <c r="B7" s="87" t="s">
        <v>788</v>
      </c>
      <c r="C7" s="87"/>
      <c r="D7" s="87"/>
    </row>
    <row r="8" spans="2:4" ht="30" customHeight="1">
      <c r="B8" s="43" t="s">
        <v>789</v>
      </c>
      <c r="C8" s="43"/>
      <c r="D8" s="43"/>
    </row>
    <row r="9" spans="2:4" ht="30" customHeight="1">
      <c r="B9" s="82" t="s">
        <v>790</v>
      </c>
      <c r="C9" s="82"/>
      <c r="D9" s="82"/>
    </row>
    <row r="10" spans="2:4" ht="30" customHeight="1">
      <c r="B10" s="43" t="s">
        <v>791</v>
      </c>
      <c r="C10" s="43"/>
      <c r="D10" s="43"/>
    </row>
    <row r="11" spans="2:4" ht="30" customHeight="1">
      <c r="B11" s="82" t="s">
        <v>792</v>
      </c>
      <c r="C11" s="82"/>
      <c r="D11" s="82"/>
    </row>
    <row r="12" spans="2:4" ht="8" customHeight="1"/>
    <row r="13" spans="2:4" ht="24" customHeight="1">
      <c r="B13" s="87" t="s">
        <v>793</v>
      </c>
      <c r="C13" s="87"/>
      <c r="D13" s="87"/>
    </row>
    <row r="14" spans="2:4" ht="120" customHeight="1">
      <c r="B14" s="90" t="s">
        <v>794</v>
      </c>
      <c r="C14" s="90"/>
      <c r="D14" s="90"/>
    </row>
    <row r="15" spans="2:4" ht="8" customHeight="1"/>
    <row r="16" spans="2:4" ht="24" customHeight="1">
      <c r="B16" s="87" t="s">
        <v>795</v>
      </c>
      <c r="C16" s="87"/>
      <c r="D16" s="87"/>
    </row>
    <row r="17" spans="2:5" ht="60" customHeight="1">
      <c r="B17" s="90" t="s">
        <v>796</v>
      </c>
      <c r="C17" s="90"/>
      <c r="D17" s="90"/>
    </row>
    <row r="18" spans="2:5" ht="8" customHeight="1"/>
    <row r="19" spans="2:5" ht="24" customHeight="1">
      <c r="B19" s="87" t="s">
        <v>797</v>
      </c>
      <c r="C19" s="87"/>
      <c r="D19" s="87"/>
    </row>
    <row r="20" spans="2:5" ht="26" customHeight="1">
      <c r="B20" s="89" t="s">
        <v>798</v>
      </c>
      <c r="C20" s="89" t="s">
        <v>799</v>
      </c>
      <c r="D20" s="89" t="s">
        <v>800</v>
      </c>
      <c r="E20" s="89" t="s">
        <v>774</v>
      </c>
    </row>
    <row r="21" spans="2:5" ht="28" customHeight="1">
      <c r="B21" s="14" t="s">
        <v>801</v>
      </c>
      <c r="C21" s="14" t="s">
        <v>802</v>
      </c>
      <c r="D21" s="14" t="s">
        <v>803</v>
      </c>
      <c r="E21" s="14" t="s">
        <v>804</v>
      </c>
    </row>
    <row r="22" spans="2:5" ht="28" customHeight="1">
      <c r="B22" s="17" t="s">
        <v>805</v>
      </c>
      <c r="C22" s="17" t="s">
        <v>806</v>
      </c>
      <c r="D22" s="17" t="s">
        <v>807</v>
      </c>
      <c r="E22" s="17" t="s">
        <v>808</v>
      </c>
    </row>
    <row r="23" spans="2:5" ht="28" customHeight="1">
      <c r="B23" s="14" t="s">
        <v>809</v>
      </c>
      <c r="C23" s="14" t="s">
        <v>810</v>
      </c>
      <c r="D23" s="14" t="s">
        <v>811</v>
      </c>
      <c r="E23" s="14" t="s">
        <v>812</v>
      </c>
    </row>
    <row r="24" spans="2:5" ht="28" customHeight="1">
      <c r="B24" s="17" t="s">
        <v>813</v>
      </c>
      <c r="C24" s="17" t="s">
        <v>814</v>
      </c>
      <c r="D24" s="17" t="s">
        <v>815</v>
      </c>
      <c r="E24" s="17"/>
    </row>
  </sheetData>
  <mergeCells count="12">
    <mergeCell ref="B2:D2"/>
    <mergeCell ref="B3:D3"/>
    <mergeCell ref="B7:D7"/>
    <mergeCell ref="B8:D8"/>
    <mergeCell ref="B9:D9"/>
    <mergeCell ref="B10:D10"/>
    <mergeCell ref="B11:D11"/>
    <mergeCell ref="B13:D13"/>
    <mergeCell ref="B14:D14"/>
    <mergeCell ref="B16:D16"/>
    <mergeCell ref="B17:D17"/>
    <mergeCell ref="B19:D19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B2:D24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58.7109375" customWidth="1"/>
    <col min="4" max="4" width="24.7109375" customWidth="1"/>
  </cols>
  <sheetData>
    <row r="2" spans="2:4" ht="32" customHeight="1">
      <c r="B2" s="91" t="s">
        <v>816</v>
      </c>
      <c r="C2" s="91"/>
      <c r="D2" s="91"/>
    </row>
    <row r="3" spans="2:4" ht="20" customHeight="1">
      <c r="B3" s="2" t="s">
        <v>817</v>
      </c>
      <c r="C3" s="2"/>
      <c r="D3" s="2"/>
    </row>
    <row r="5" spans="2:4">
      <c r="B5" s="71" t="s">
        <v>463</v>
      </c>
      <c r="C5" s="66" t="s">
        <v>384</v>
      </c>
    </row>
    <row r="7" spans="2:4" ht="24" customHeight="1">
      <c r="B7" s="92" t="s">
        <v>818</v>
      </c>
      <c r="C7" s="92"/>
      <c r="D7" s="92"/>
    </row>
    <row r="8" spans="2:4" ht="28" customHeight="1">
      <c r="B8" s="43" t="s">
        <v>819</v>
      </c>
      <c r="C8" s="43"/>
      <c r="D8" s="43"/>
    </row>
    <row r="9" spans="2:4" ht="28" customHeight="1">
      <c r="B9" s="56" t="s">
        <v>820</v>
      </c>
      <c r="C9" s="56"/>
      <c r="D9" s="56"/>
    </row>
    <row r="10" spans="2:4" ht="28" customHeight="1">
      <c r="B10" s="43" t="s">
        <v>821</v>
      </c>
      <c r="C10" s="43"/>
      <c r="D10" s="43"/>
    </row>
    <row r="11" spans="2:4" ht="28" customHeight="1">
      <c r="B11" s="56" t="s">
        <v>822</v>
      </c>
      <c r="C11" s="56"/>
      <c r="D11" s="56"/>
    </row>
    <row r="12" spans="2:4" ht="8" customHeight="1"/>
    <row r="13" spans="2:4" ht="24" customHeight="1">
      <c r="B13" s="92" t="s">
        <v>823</v>
      </c>
      <c r="C13" s="92"/>
      <c r="D13" s="92"/>
    </row>
    <row r="14" spans="2:4" ht="120" customHeight="1">
      <c r="B14" s="90" t="s">
        <v>824</v>
      </c>
      <c r="C14" s="90"/>
      <c r="D14" s="90"/>
    </row>
    <row r="15" spans="2:4" ht="8" customHeight="1"/>
    <row r="16" spans="2:4" ht="24" customHeight="1">
      <c r="B16" s="92" t="s">
        <v>768</v>
      </c>
      <c r="C16" s="92"/>
      <c r="D16" s="92"/>
    </row>
    <row r="17" spans="2:4" ht="85" customHeight="1">
      <c r="B17" s="90" t="s">
        <v>825</v>
      </c>
      <c r="C17" s="90"/>
      <c r="D17" s="90"/>
    </row>
    <row r="18" spans="2:4" ht="36" customHeight="1">
      <c r="B18" s="20" t="s">
        <v>826</v>
      </c>
      <c r="C18" s="20"/>
      <c r="D18" s="20"/>
    </row>
    <row r="19" spans="2:4" ht="8" customHeight="1"/>
    <row r="20" spans="2:4" ht="24" customHeight="1">
      <c r="B20" s="92" t="s">
        <v>827</v>
      </c>
      <c r="C20" s="92"/>
      <c r="D20" s="92"/>
    </row>
    <row r="21" spans="2:4" ht="26" customHeight="1">
      <c r="B21" s="93" t="s">
        <v>828</v>
      </c>
      <c r="C21" s="93" t="s">
        <v>829</v>
      </c>
      <c r="D21" s="93" t="s">
        <v>830</v>
      </c>
    </row>
    <row r="22" spans="2:4" ht="40" customHeight="1">
      <c r="B22" s="14" t="s">
        <v>831</v>
      </c>
      <c r="C22" s="14" t="s">
        <v>832</v>
      </c>
      <c r="D22" s="14" t="s">
        <v>833</v>
      </c>
    </row>
    <row r="23" spans="2:4" ht="40" customHeight="1">
      <c r="B23" s="17" t="s">
        <v>834</v>
      </c>
      <c r="C23" s="17" t="s">
        <v>835</v>
      </c>
      <c r="D23" s="17" t="s">
        <v>836</v>
      </c>
    </row>
    <row r="24" spans="2:4" ht="40" customHeight="1">
      <c r="B24" s="14" t="s">
        <v>837</v>
      </c>
      <c r="C24" s="14" t="s">
        <v>838</v>
      </c>
      <c r="D24" s="14" t="s">
        <v>839</v>
      </c>
    </row>
  </sheetData>
  <mergeCells count="13">
    <mergeCell ref="B2:D2"/>
    <mergeCell ref="B3:D3"/>
    <mergeCell ref="B7:D7"/>
    <mergeCell ref="B8:D8"/>
    <mergeCell ref="B9:D9"/>
    <mergeCell ref="B10:D10"/>
    <mergeCell ref="B11:D11"/>
    <mergeCell ref="B13:D13"/>
    <mergeCell ref="B14:D14"/>
    <mergeCell ref="B16:D16"/>
    <mergeCell ref="B17:D17"/>
    <mergeCell ref="B18:D18"/>
    <mergeCell ref="B20:D20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B2:D21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58.7109375" customWidth="1"/>
    <col min="4" max="4" width="28.7109375" customWidth="1"/>
  </cols>
  <sheetData>
    <row r="2" spans="2:4" ht="32" customHeight="1">
      <c r="B2" s="94" t="s">
        <v>840</v>
      </c>
      <c r="C2" s="94"/>
      <c r="D2" s="94"/>
    </row>
    <row r="3" spans="2:4" ht="20" customHeight="1">
      <c r="B3" s="2" t="s">
        <v>841</v>
      </c>
      <c r="C3" s="2"/>
      <c r="D3" s="2"/>
    </row>
    <row r="5" spans="2:4">
      <c r="B5" s="71" t="s">
        <v>463</v>
      </c>
      <c r="C5" s="66" t="s">
        <v>384</v>
      </c>
    </row>
    <row r="7" spans="2:4" ht="24" customHeight="1">
      <c r="B7" s="95" t="s">
        <v>842</v>
      </c>
      <c r="C7" s="95"/>
      <c r="D7" s="95"/>
    </row>
    <row r="8" spans="2:4">
      <c r="B8" s="82" t="s">
        <v>843</v>
      </c>
      <c r="C8" s="82"/>
      <c r="D8" s="82"/>
    </row>
    <row r="9" spans="2:4">
      <c r="B9" s="82" t="s">
        <v>844</v>
      </c>
      <c r="C9" s="82"/>
      <c r="D9" s="82"/>
    </row>
    <row r="10" spans="2:4" ht="8" customHeight="1"/>
    <row r="11" spans="2:4" ht="24" customHeight="1">
      <c r="B11" s="95" t="s">
        <v>845</v>
      </c>
      <c r="C11" s="95"/>
      <c r="D11" s="95"/>
    </row>
    <row r="12" spans="2:4" ht="75" customHeight="1">
      <c r="B12" s="90" t="s">
        <v>846</v>
      </c>
      <c r="C12" s="90"/>
      <c r="D12" s="90"/>
    </row>
    <row r="13" spans="2:4" ht="24" customHeight="1">
      <c r="B13" s="95" t="s">
        <v>847</v>
      </c>
      <c r="C13" s="95"/>
      <c r="D13" s="95"/>
    </row>
    <row r="14" spans="2:4" ht="80" customHeight="1">
      <c r="B14" s="90" t="s">
        <v>848</v>
      </c>
      <c r="C14" s="90"/>
      <c r="D14" s="90"/>
    </row>
    <row r="15" spans="2:4" ht="8" customHeight="1"/>
    <row r="16" spans="2:4" ht="24" customHeight="1">
      <c r="B16" s="95" t="s">
        <v>849</v>
      </c>
      <c r="C16" s="95"/>
      <c r="D16" s="95"/>
    </row>
    <row r="17" spans="2:4" ht="115" customHeight="1">
      <c r="B17" s="90" t="s">
        <v>850</v>
      </c>
      <c r="C17" s="90"/>
      <c r="D17" s="90"/>
    </row>
    <row r="18" spans="2:4" ht="8" customHeight="1"/>
    <row r="19" spans="2:4" ht="24" customHeight="1">
      <c r="B19" s="95" t="s">
        <v>851</v>
      </c>
      <c r="C19" s="95"/>
      <c r="D19" s="95"/>
    </row>
    <row r="20" spans="2:4" ht="55" customHeight="1">
      <c r="B20" s="90" t="s">
        <v>852</v>
      </c>
      <c r="C20" s="90"/>
      <c r="D20" s="90"/>
    </row>
    <row r="21" spans="2:4" ht="36" customHeight="1">
      <c r="B21" s="20" t="s">
        <v>853</v>
      </c>
      <c r="C21" s="20"/>
      <c r="D21" s="20"/>
    </row>
  </sheetData>
  <mergeCells count="14">
    <mergeCell ref="B2:D2"/>
    <mergeCell ref="B3:D3"/>
    <mergeCell ref="B7:D7"/>
    <mergeCell ref="B8:D8"/>
    <mergeCell ref="B9:D9"/>
    <mergeCell ref="B11:D11"/>
    <mergeCell ref="B12:D12"/>
    <mergeCell ref="B13:D13"/>
    <mergeCell ref="B14:D14"/>
    <mergeCell ref="B16:D16"/>
    <mergeCell ref="B17:D17"/>
    <mergeCell ref="B19:D19"/>
    <mergeCell ref="B20:D20"/>
    <mergeCell ref="B21:D21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2:D27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58.7109375" customWidth="1"/>
    <col min="4" max="4" width="28.7109375" customWidth="1"/>
  </cols>
  <sheetData>
    <row r="2" spans="2:4" ht="32" customHeight="1">
      <c r="B2" s="94" t="s">
        <v>854</v>
      </c>
      <c r="C2" s="94"/>
      <c r="D2" s="94"/>
    </row>
    <row r="3" spans="2:4" ht="20" customHeight="1">
      <c r="B3" s="2" t="s">
        <v>855</v>
      </c>
      <c r="C3" s="2"/>
      <c r="D3" s="2"/>
    </row>
    <row r="5" spans="2:4">
      <c r="B5" s="71" t="s">
        <v>463</v>
      </c>
      <c r="C5" s="66" t="s">
        <v>384</v>
      </c>
    </row>
    <row r="7" spans="2:4" ht="24" customHeight="1">
      <c r="B7" s="95" t="s">
        <v>856</v>
      </c>
      <c r="C7" s="95"/>
      <c r="D7" s="95"/>
    </row>
    <row r="8" spans="2:4">
      <c r="B8" s="82" t="s">
        <v>857</v>
      </c>
      <c r="C8" s="82"/>
      <c r="D8" s="82"/>
    </row>
    <row r="9" spans="2:4" ht="60" customHeight="1">
      <c r="B9" s="90" t="s">
        <v>858</v>
      </c>
      <c r="C9" s="90"/>
      <c r="D9" s="90"/>
    </row>
    <row r="10" spans="2:4" ht="8" customHeight="1"/>
    <row r="11" spans="2:4" ht="24" customHeight="1">
      <c r="B11" s="95" t="s">
        <v>859</v>
      </c>
      <c r="C11" s="95"/>
      <c r="D11" s="95"/>
    </row>
    <row r="12" spans="2:4" ht="125" customHeight="1">
      <c r="B12" s="90" t="s">
        <v>860</v>
      </c>
      <c r="C12" s="90"/>
      <c r="D12" s="90"/>
    </row>
    <row r="13" spans="2:4" ht="8" customHeight="1"/>
    <row r="14" spans="2:4" ht="24" customHeight="1">
      <c r="B14" s="95" t="s">
        <v>861</v>
      </c>
      <c r="C14" s="95"/>
      <c r="D14" s="95"/>
    </row>
    <row r="15" spans="2:4" ht="28" customHeight="1">
      <c r="B15" s="43" t="s">
        <v>862</v>
      </c>
      <c r="C15" s="43"/>
      <c r="D15" s="43"/>
    </row>
    <row r="16" spans="2:4" ht="28" customHeight="1">
      <c r="B16" s="56" t="s">
        <v>863</v>
      </c>
      <c r="C16" s="56"/>
      <c r="D16" s="56"/>
    </row>
    <row r="17" spans="2:4" ht="28" customHeight="1">
      <c r="B17" s="43" t="s">
        <v>864</v>
      </c>
      <c r="C17" s="43"/>
      <c r="D17" s="43"/>
    </row>
    <row r="18" spans="2:4" ht="28" customHeight="1">
      <c r="B18" s="56" t="s">
        <v>865</v>
      </c>
      <c r="C18" s="56"/>
      <c r="D18" s="56"/>
    </row>
    <row r="19" spans="2:4" ht="8" customHeight="1"/>
    <row r="20" spans="2:4" ht="24" customHeight="1">
      <c r="B20" s="95" t="s">
        <v>866</v>
      </c>
      <c r="C20" s="95"/>
      <c r="D20" s="95"/>
    </row>
    <row r="21" spans="2:4" ht="26" customHeight="1">
      <c r="B21" s="96" t="s">
        <v>867</v>
      </c>
      <c r="C21" s="96" t="s">
        <v>868</v>
      </c>
      <c r="D21" s="96" t="s">
        <v>3</v>
      </c>
    </row>
    <row r="22" spans="2:4" ht="28" customHeight="1">
      <c r="B22" s="14" t="s">
        <v>869</v>
      </c>
      <c r="C22" s="14" t="s">
        <v>870</v>
      </c>
      <c r="D22" s="14" t="s">
        <v>871</v>
      </c>
    </row>
    <row r="23" spans="2:4" ht="28" customHeight="1">
      <c r="B23" s="17" t="s">
        <v>872</v>
      </c>
      <c r="C23" s="17" t="s">
        <v>873</v>
      </c>
      <c r="D23" s="17" t="s">
        <v>874</v>
      </c>
    </row>
    <row r="24" spans="2:4" ht="28" customHeight="1">
      <c r="B24" s="14" t="s">
        <v>875</v>
      </c>
      <c r="C24" s="14" t="s">
        <v>876</v>
      </c>
      <c r="D24" s="14" t="s">
        <v>877</v>
      </c>
    </row>
    <row r="25" spans="2:4" ht="28" customHeight="1">
      <c r="B25" s="17" t="s">
        <v>878</v>
      </c>
      <c r="C25" s="17" t="s">
        <v>879</v>
      </c>
      <c r="D25" s="17" t="s">
        <v>880</v>
      </c>
    </row>
    <row r="26" spans="2:4" ht="28" customHeight="1">
      <c r="B26" s="14" t="s">
        <v>881</v>
      </c>
      <c r="C26" s="14" t="s">
        <v>882</v>
      </c>
      <c r="D26" s="14" t="s">
        <v>883</v>
      </c>
    </row>
    <row r="27" spans="2:4" ht="44" customHeight="1">
      <c r="B27" s="20" t="s">
        <v>884</v>
      </c>
      <c r="C27" s="20"/>
      <c r="D27" s="20"/>
    </row>
  </sheetData>
  <mergeCells count="14">
    <mergeCell ref="B2:D2"/>
    <mergeCell ref="B3:D3"/>
    <mergeCell ref="B7:D7"/>
    <mergeCell ref="B8:D8"/>
    <mergeCell ref="B9:D9"/>
    <mergeCell ref="B11:D11"/>
    <mergeCell ref="B12:D12"/>
    <mergeCell ref="B14:D14"/>
    <mergeCell ref="B15:D15"/>
    <mergeCell ref="B16:D16"/>
    <mergeCell ref="B17:D17"/>
    <mergeCell ref="B18:D18"/>
    <mergeCell ref="B20:D20"/>
    <mergeCell ref="B27:D27"/>
  </mergeCells>
  <conditionalFormatting sqref="C5">
    <cfRule type="containsText" dxfId="0" priority="1" operator="containsText" text="เสร็จแล้ว">
      <formula>NOT(ISERROR(SEARCH("เสร็จแล้ว",C5)))</formula>
    </cfRule>
    <cfRule type="containsText" dxfId="1" priority="2" operator="containsText" text="กำลังทำ">
      <formula>NOT(ISERROR(SEARCH("กำลังทำ",C5)))</formula>
    </cfRule>
    <cfRule type="containsText" dxfId="2" priority="3" operator="containsText" text="ข้าม">
      <formula>NOT(ISERROR(SEARCH("ข้าม",C5)))</formula>
    </cfRule>
  </conditionalFormatting>
  <dataValidations count="1">
    <dataValidation type="list" allowBlank="1" showInputMessage="1" showErrorMessage="1" sqref="C5">
      <formula1>"ยังไม่เริ่ม,กำลังทำ,เสร็จแล้ว,ข้าม"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1. Voltage</vt:lpstr>
      <vt:lpstr>2. Current</vt:lpstr>
      <vt:lpstr>3. SoC</vt:lpstr>
      <vt:lpstr>4. Rin</vt:lpstr>
      <vt:lpstr>5. Temp</vt:lpstr>
      <vt:lpstr>6. SoH</vt:lpstr>
      <vt:lpstr>7. ค่าต่อเคมี</vt:lpstr>
      <vt:lpstr>8. ปรับความแม่นยำ</vt:lpstr>
      <vt:lpstr>R0 · Dashboard</vt:lpstr>
      <vt:lpstr>R1 · คำถามวิจัย</vt:lpstr>
      <vt:lpstr>R2 · จำเป็นไหม</vt:lpstr>
      <vt:lpstr>R3 · อ้างอิง</vt:lpstr>
      <vt:lpstr>R4 · Baseline</vt:lpstr>
      <vt:lpstr>R5 · Ground Truth</vt:lpstr>
      <vt:lpstr>R6 · Replay Harness</vt:lpstr>
      <vt:lpstr>R7 · Ablation Matrix</vt:lpstr>
      <vt:lpstr>R8 · ตัวชี้วัด</vt:lpstr>
      <vt:lpstr>R9 · เกณฑ์ตัดสิน</vt:lpstr>
      <vt:lpstr>R10 · แผน 2 สัปดาห์</vt:lpstr>
      <vt:lpstr>R11 · ตารางเก็บผล</vt:lpstr>
      <vt:lpstr>R12 · ความเสี่ยง</vt:lpstr>
      <vt:lpstr>R13 · ป้องกันวิทยานิพนธ์</vt:lpstr>
      <vt:lpstr>P1 · Peukert k</vt:lpstr>
      <vt:lpstr>P2 · Coulomb eta</vt:lpstr>
      <vt:lpstr>P3 · OCV Table</vt:lpstr>
      <vt:lpstr>P4 · EKF</vt:lpstr>
      <vt:lpstr>P5 · Q-R Tuning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2026-06-30T09:05:15Z</dcterms:created>
  <dcterms:modified xsi:type="dcterms:W3CDTF">2026-06-30T09:05:15Z</dcterms:modified>
</cp:coreProperties>
</file>